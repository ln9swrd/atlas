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관리파일\영진업무\SUS 재고현황\26년\"/>
    </mc:Choice>
  </mc:AlternateContent>
  <xr:revisionPtr revIDLastSave="0" documentId="13_ncr:1_{8763D6A8-8388-4C36-BB07-C2EDA5C25BD5}" xr6:coauthVersionLast="47" xr6:coauthVersionMax="47" xr10:uidLastSave="{00000000-0000-0000-0000-000000000000}"/>
  <bookViews>
    <workbookView xWindow="-120" yWindow="-120" windowWidth="38640" windowHeight="21240" tabRatio="721" activeTab="1" xr2:uid="{00000000-000D-0000-FFFF-FFFF00000000}"/>
  </bookViews>
  <sheets>
    <sheet name="유형" sheetId="137" r:id="rId1"/>
    <sheet name="입출고 입력" sheetId="36" r:id="rId2"/>
    <sheet name="단가표" sheetId="410" r:id="rId3"/>
    <sheet name="목록" sheetId="5" r:id="rId4"/>
    <sheet name="제품재고" sheetId="409" r:id="rId5"/>
  </sheets>
  <definedNames>
    <definedName name="_xlnm._FilterDatabase" localSheetId="1" hidden="1">'입출고 입력'!$B$12:$I$702</definedName>
    <definedName name="_xlnm.Criteria" localSheetId="1">'입출고 입력'!$E$3:$F$3</definedName>
    <definedName name="_xlnm.Extract" localSheetId="1">'입출고 입력'!$B$8:$I$8</definedName>
    <definedName name="_xlnm.Print_Area" localSheetId="1">'입출고 입력'!$A$1:$H$221</definedName>
    <definedName name="_xlnm.Print_Area" localSheetId="4">제품재고!$A$1:$AA$15</definedName>
    <definedName name="데이터원본">'입출고 입력'!$B$12:$I$64604</definedName>
    <definedName name="모델명" localSheetId="1">OFFSET(목록!$C$2,0,MATCH('입출고 입력'!$D$7,'입출고 입력'!업체명,0)-1,COUNTA(OFFSET(목록!$C:$C,0,MATCH('입출고 입력'!$D$7,'입출고 입력'!업체명,0)-1))-1,1)</definedName>
    <definedName name="모델명" localSheetId="4">OFFSET(목록!$C$2,0,MATCH(제품재고!$C1,제품재고!업체명,0)-1,COUNTA(OFFSET(목록!$C:$C,0,MATCH(제품재고!$C1,제품재고!업체명,0)-1))-1,1)</definedName>
    <definedName name="업체명" localSheetId="3">목록!$A$2:$A$195</definedName>
    <definedName name="업체명" localSheetId="1">목록!$A$2:$A$2</definedName>
    <definedName name="업체명" localSheetId="4">OFFSET(목록!$A$1:$A$86,1,0,COUNTA(목록!$A:$A),1)</definedName>
    <definedName name="업체명">OFFSET(목록!$A$1:$A$98,1,0,COUNTA(목록!$A:$A)-1,1)</definedName>
    <definedName name="입고출고">유형!$A$2:$A$10</definedName>
    <definedName name="품명">목록!$C$2:$C$26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409" l="1"/>
  <c r="Q11" i="409" l="1"/>
  <c r="K11" i="409"/>
  <c r="W11" i="409" l="1"/>
  <c r="J7" i="36" l="1"/>
  <c r="H20" i="409" l="1"/>
  <c r="H21" i="409"/>
  <c r="Q20" i="409" l="1"/>
  <c r="K20" i="409"/>
  <c r="W20" i="409" l="1"/>
  <c r="G7" i="36"/>
  <c r="H13" i="409" l="1"/>
  <c r="K13" i="409"/>
  <c r="Q13" i="409"/>
  <c r="H14" i="409"/>
  <c r="K14" i="409"/>
  <c r="Q14" i="409"/>
  <c r="H15" i="409"/>
  <c r="K15" i="409"/>
  <c r="Q15" i="409"/>
  <c r="W14" i="409" l="1"/>
  <c r="W13" i="409"/>
  <c r="W15" i="409"/>
  <c r="Q21" i="409" l="1"/>
  <c r="K21" i="409"/>
  <c r="H16" i="409"/>
  <c r="H17" i="409"/>
  <c r="H18" i="409"/>
  <c r="H19" i="409"/>
  <c r="W21" i="409" l="1"/>
  <c r="K19" i="409"/>
  <c r="Q19" i="409"/>
  <c r="W19" i="409" l="1"/>
  <c r="Q18" i="409"/>
  <c r="K16" i="409" l="1"/>
  <c r="Q17" i="409"/>
  <c r="Q16" i="409"/>
  <c r="K17" i="409"/>
  <c r="W17" i="409" l="1"/>
  <c r="K18" i="409" l="1"/>
  <c r="W18" i="409" s="1"/>
  <c r="W16" i="409" l="1"/>
  <c r="G703" i="36" l="1"/>
  <c r="H703" i="36"/>
  <c r="Q7" i="409" l="1"/>
  <c r="Q8" i="409"/>
  <c r="Q6" i="409"/>
  <c r="K8" i="409"/>
  <c r="K7" i="409"/>
  <c r="K6" i="409"/>
  <c r="H6" i="409"/>
  <c r="H7" i="409"/>
  <c r="H8" i="409"/>
  <c r="H9" i="409"/>
  <c r="H10" i="409"/>
  <c r="H12" i="409"/>
  <c r="Q12" i="409"/>
  <c r="K12" i="409"/>
  <c r="W12" i="409" l="1"/>
  <c r="AB12" i="409" s="1"/>
  <c r="Q10" i="409"/>
  <c r="K10" i="409"/>
  <c r="W10" i="409" l="1"/>
  <c r="AB10" i="409" s="1"/>
  <c r="Q9" i="409" l="1"/>
  <c r="K9" i="409"/>
  <c r="W8" i="409" l="1"/>
  <c r="AB8" i="409" s="1"/>
  <c r="W9" i="409"/>
  <c r="AB9" i="409" s="1"/>
  <c r="W7" i="409" l="1"/>
  <c r="AB7" i="409" s="1"/>
  <c r="W6" i="409" l="1"/>
  <c r="AB6" i="409" s="1"/>
</calcChain>
</file>

<file path=xl/sharedStrings.xml><?xml version="1.0" encoding="utf-8"?>
<sst xmlns="http://schemas.openxmlformats.org/spreadsheetml/2006/main" count="162" uniqueCount="99">
  <si>
    <t>모델명</t>
    <phoneticPr fontId="2" type="noConversion"/>
  </si>
  <si>
    <t>업체명</t>
    <phoneticPr fontId="2" type="noConversion"/>
  </si>
  <si>
    <t>모 델 명</t>
    <phoneticPr fontId="2" type="noConversion"/>
  </si>
  <si>
    <t>업체명</t>
    <phoneticPr fontId="2" type="noConversion"/>
  </si>
  <si>
    <t>.</t>
    <phoneticPr fontId="2" type="noConversion"/>
  </si>
  <si>
    <t>유형</t>
    <phoneticPr fontId="2" type="noConversion"/>
  </si>
  <si>
    <t>유형</t>
    <phoneticPr fontId="2" type="noConversion"/>
  </si>
  <si>
    <t>입고</t>
    <phoneticPr fontId="2" type="noConversion"/>
  </si>
  <si>
    <t>출고</t>
    <phoneticPr fontId="2" type="noConversion"/>
  </si>
  <si>
    <t>일자</t>
    <phoneticPr fontId="2" type="noConversion"/>
  </si>
  <si>
    <t>유형</t>
    <phoneticPr fontId="2" type="noConversion"/>
  </si>
  <si>
    <t>일자</t>
    <phoneticPr fontId="2" type="noConversion"/>
  </si>
  <si>
    <t>현재고</t>
    <phoneticPr fontId="2" type="noConversion"/>
  </si>
  <si>
    <t>입고</t>
    <phoneticPr fontId="2" type="noConversion"/>
  </si>
  <si>
    <t>출고</t>
    <phoneticPr fontId="2" type="noConversion"/>
  </si>
  <si>
    <t>수량</t>
    <phoneticPr fontId="2" type="noConversion"/>
  </si>
  <si>
    <t>수량</t>
    <phoneticPr fontId="2" type="noConversion"/>
  </si>
  <si>
    <t>LOSS</t>
    <phoneticPr fontId="2" type="noConversion"/>
  </si>
  <si>
    <t>LOSS</t>
    <phoneticPr fontId="2" type="noConversion"/>
  </si>
  <si>
    <t>품목</t>
    <phoneticPr fontId="2" type="noConversion"/>
  </si>
  <si>
    <t>L</t>
    <phoneticPr fontId="2" type="noConversion"/>
  </si>
  <si>
    <t>영진에이에스티</t>
  </si>
  <si>
    <t>영진에이에스티</t>
    <phoneticPr fontId="2" type="noConversion"/>
  </si>
  <si>
    <t>DM3</t>
  </si>
  <si>
    <t>DM3</t>
    <phoneticPr fontId="2" type="noConversion"/>
  </si>
  <si>
    <t>B0</t>
  </si>
  <si>
    <t>B0</t>
    <phoneticPr fontId="2" type="noConversion"/>
  </si>
  <si>
    <t>E3</t>
  </si>
  <si>
    <t>E3</t>
    <phoneticPr fontId="2" type="noConversion"/>
  </si>
  <si>
    <t>영진 SUS 재고현황</t>
    <phoneticPr fontId="2" type="noConversion"/>
  </si>
  <si>
    <t>F2</t>
    <phoneticPr fontId="2" type="noConversion"/>
  </si>
  <si>
    <t>F3 UW</t>
    <phoneticPr fontId="2" type="noConversion"/>
  </si>
  <si>
    <t>F3 UW</t>
  </si>
  <si>
    <t>F2</t>
  </si>
  <si>
    <t>DM3, E3, F2</t>
    <phoneticPr fontId="2" type="noConversion"/>
  </si>
  <si>
    <t>F3 UW</t>
    <phoneticPr fontId="2" type="noConversion"/>
  </si>
  <si>
    <t>1장 1320개(30x44행)</t>
    <phoneticPr fontId="2" type="noConversion"/>
  </si>
  <si>
    <t>1장 756개(27x28행)</t>
    <phoneticPr fontId="2" type="noConversion"/>
  </si>
  <si>
    <t>단가</t>
    <phoneticPr fontId="2" type="noConversion"/>
  </si>
  <si>
    <t>단가</t>
    <phoneticPr fontId="2" type="noConversion"/>
  </si>
  <si>
    <t>매출액</t>
    <phoneticPr fontId="2" type="noConversion"/>
  </si>
  <si>
    <t>비 고</t>
    <phoneticPr fontId="2" type="noConversion"/>
  </si>
  <si>
    <t>비 고</t>
    <phoneticPr fontId="2" type="noConversion"/>
  </si>
  <si>
    <t>B0</t>
    <phoneticPr fontId="2" type="noConversion"/>
  </si>
  <si>
    <t>1장 891개(27x33행)</t>
    <phoneticPr fontId="2" type="noConversion"/>
  </si>
  <si>
    <t>EIM703</t>
  </si>
  <si>
    <t>EIM</t>
    <phoneticPr fontId="2" type="noConversion"/>
  </si>
  <si>
    <t>1장 1020개(30x34행)</t>
    <phoneticPr fontId="2" type="noConversion"/>
  </si>
  <si>
    <t>품 목</t>
    <phoneticPr fontId="2" type="noConversion"/>
  </si>
  <si>
    <t>RSP UW</t>
    <phoneticPr fontId="2" type="noConversion"/>
  </si>
  <si>
    <t>RSP 12M</t>
    <phoneticPr fontId="2" type="noConversion"/>
  </si>
  <si>
    <t>각인확인</t>
    <phoneticPr fontId="2" type="noConversion"/>
  </si>
  <si>
    <t>RSP 12M파</t>
    <phoneticPr fontId="2" type="noConversion"/>
  </si>
  <si>
    <t xml:space="preserve"> </t>
    <phoneticPr fontId="2" type="noConversion"/>
  </si>
  <si>
    <t>POC_2501P</t>
  </si>
  <si>
    <t xml:space="preserve">Miracle1,2 </t>
    <phoneticPr fontId="2" type="noConversion"/>
  </si>
  <si>
    <t>Miracle3</t>
    <phoneticPr fontId="2" type="noConversion"/>
  </si>
  <si>
    <t>Miracle3M</t>
  </si>
  <si>
    <t>Miracle3M</t>
    <phoneticPr fontId="2" type="noConversion"/>
  </si>
  <si>
    <t>`</t>
    <phoneticPr fontId="2" type="noConversion"/>
  </si>
  <si>
    <t>Q8</t>
    <phoneticPr fontId="2" type="noConversion"/>
  </si>
  <si>
    <t>a</t>
    <phoneticPr fontId="2" type="noConversion"/>
  </si>
  <si>
    <t>Q8</t>
  </si>
  <si>
    <t>EF1M</t>
  </si>
  <si>
    <t>EF1M</t>
    <phoneticPr fontId="2" type="noConversion"/>
  </si>
  <si>
    <t>써니옵텍</t>
    <phoneticPr fontId="2" type="noConversion"/>
  </si>
  <si>
    <t xml:space="preserve"> 고객사</t>
    <phoneticPr fontId="2" type="noConversion"/>
  </si>
  <si>
    <t>CF1N</t>
    <phoneticPr fontId="2" type="noConversion"/>
  </si>
  <si>
    <t>파트론</t>
    <phoneticPr fontId="2" type="noConversion"/>
  </si>
  <si>
    <t>TN3 UW 50M JN3 "L"</t>
    <phoneticPr fontId="2" type="noConversion"/>
  </si>
  <si>
    <t>TN3 UW 50M 855 "S"</t>
    <phoneticPr fontId="2" type="noConversion"/>
  </si>
  <si>
    <t>TN4 UW 50M "N"</t>
    <phoneticPr fontId="2" type="noConversion"/>
  </si>
  <si>
    <t>형상변경전</t>
    <phoneticPr fontId="2" type="noConversion"/>
  </si>
  <si>
    <t>변경후</t>
    <phoneticPr fontId="2" type="noConversion"/>
  </si>
  <si>
    <t>EF1N</t>
    <phoneticPr fontId="2" type="noConversion"/>
  </si>
  <si>
    <t>나무가</t>
    <phoneticPr fontId="2" type="noConversion"/>
  </si>
  <si>
    <t>파워로직스</t>
    <phoneticPr fontId="2" type="noConversion"/>
  </si>
  <si>
    <t>Q8 "."각인변경</t>
    <phoneticPr fontId="2" type="noConversion"/>
  </si>
  <si>
    <t>CF1N</t>
  </si>
  <si>
    <t>ON3 UW 50M 855</t>
  </si>
  <si>
    <t>ON3 UW 50M 855</t>
    <phoneticPr fontId="2" type="noConversion"/>
  </si>
  <si>
    <t>ON3 UW 50M JNS</t>
    <phoneticPr fontId="2" type="noConversion"/>
  </si>
  <si>
    <t xml:space="preserve">Miracle1,2 </t>
  </si>
  <si>
    <t>Miracle3</t>
  </si>
  <si>
    <t>ON4 50M "N"</t>
  </si>
  <si>
    <t>15K</t>
    <phoneticPr fontId="2" type="noConversion"/>
  </si>
  <si>
    <t>68K</t>
    <phoneticPr fontId="2" type="noConversion"/>
  </si>
  <si>
    <t>DV2차 : 18K</t>
    <phoneticPr fontId="2" type="noConversion"/>
  </si>
  <si>
    <t>DVR : 2K</t>
    <phoneticPr fontId="2" type="noConversion"/>
  </si>
  <si>
    <t>16K</t>
    <phoneticPr fontId="2" type="noConversion"/>
  </si>
  <si>
    <t>ON4 50M "P"</t>
  </si>
  <si>
    <t>ON4 50M "P"</t>
    <phoneticPr fontId="2" type="noConversion"/>
  </si>
  <si>
    <t>ON3 UW 50M JNS</t>
  </si>
  <si>
    <t>2K</t>
    <phoneticPr fontId="2" type="noConversion"/>
  </si>
  <si>
    <t>57K</t>
    <phoneticPr fontId="2" type="noConversion"/>
  </si>
  <si>
    <t>47K</t>
    <phoneticPr fontId="2" type="noConversion"/>
  </si>
  <si>
    <t>PV1차 : 52K</t>
    <phoneticPr fontId="2" type="noConversion"/>
  </si>
  <si>
    <t>입고</t>
  </si>
  <si>
    <t>ON34 VT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</si>
</sst>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43" formatCode="_-* #,##0.00_-;\-* #,##0.00_-;_-* &quot;-&quot;??_-;_-@_-"/>
    <numFmt numFmtId="176" formatCode="#,##0_);[Red]\(#,##0\)"/>
    <numFmt numFmtId="177" formatCode="mm&quot;월&quot;\ dd&quot;일&quot;"/>
    <numFmt numFmtId="178" formatCode="#,##0_ "/>
    <numFmt numFmtId="179" formatCode="#,##0.00_ ;[Red]\-#,##0.00\ "/>
    <numFmt numFmtId="180" formatCode="#,##0.00_ "/>
    <numFmt numFmtId="181" formatCode="yy&quot;/&quot;m&quot;/&quot;d;@"/>
    <numFmt numFmtId="182" formatCode="#,##0;[Red]&quot;-&quot;#,##0"/>
    <numFmt numFmtId="183" formatCode="#,##0.00;[Red]&quot;-&quot;#,##0.00"/>
    <numFmt numFmtId="184" formatCode="_ * #,##0_ ;_ * &quot;₩&quot;&quot;₩&quot;\!\!\-#,##0_ ;_ * &quot;-&quot;_ ;_ @_ "/>
    <numFmt numFmtId="185" formatCode="_ * #,##0.00_ ;_ * &quot;₩&quot;&quot;₩&quot;\!\!\-#,##0.00_ ;_ * &quot;-&quot;??_ ;_ @_ "/>
    <numFmt numFmtId="186" formatCode="mm&quot;₩&quot;&quot;₩&quot;/dd&quot;₩&quot;&quot;₩&quot;/yy"/>
    <numFmt numFmtId="187" formatCode="yy&quot;년&quot;&quot;₩&quot;&quot;₩&quot;&quot;₩&quot;&quot;₩&quot;\!\!\ mm&quot;월&quot;&quot;₩&quot;&quot;₩&quot;&quot;₩&quot;&quot;₩&quot;\!\!\ dd&quot;일&quot;"/>
    <numFmt numFmtId="188" formatCode="0.0_ "/>
    <numFmt numFmtId="189" formatCode="#,##0_ ;[Red]\-#,##0\ "/>
    <numFmt numFmtId="190" formatCode="#,##0.0_);[Red]\(#,##0.0\)"/>
    <numFmt numFmtId="191" formatCode="0_ "/>
  </numFmts>
  <fonts count="1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  <font>
      <b/>
      <sz val="11"/>
      <color indexed="13"/>
      <name val="돋움"/>
      <family val="3"/>
      <charset val="129"/>
    </font>
    <font>
      <b/>
      <sz val="12"/>
      <name val="돋움"/>
      <family val="3"/>
      <charset val="129"/>
    </font>
    <font>
      <b/>
      <sz val="12"/>
      <color indexed="9"/>
      <name val="돋움"/>
      <family val="3"/>
      <charset val="129"/>
    </font>
    <font>
      <sz val="9"/>
      <name val="굴림체"/>
      <family val="3"/>
      <charset val="129"/>
    </font>
    <font>
      <b/>
      <sz val="24"/>
      <name val="굴림체"/>
      <family val="3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10"/>
      <name val="돋움"/>
      <family val="3"/>
      <charset val="129"/>
    </font>
    <font>
      <b/>
      <sz val="14"/>
      <name val="굴림체"/>
      <family val="3"/>
      <charset val="129"/>
    </font>
    <font>
      <sz val="10"/>
      <name val="굴림체"/>
      <family val="3"/>
      <charset val="129"/>
    </font>
    <font>
      <b/>
      <sz val="10"/>
      <name val="굴림체"/>
      <family val="3"/>
      <charset val="129"/>
    </font>
    <font>
      <b/>
      <sz val="11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12">
    <xf numFmtId="0" fontId="0" fillId="0" borderId="0">
      <alignment vertical="center"/>
    </xf>
    <xf numFmtId="184" fontId="10" fillId="0" borderId="0" applyFont="0" applyFill="0" applyBorder="0" applyAlignment="0" applyProtection="0"/>
    <xf numFmtId="185" fontId="10" fillId="0" borderId="0" applyFont="0" applyFill="0" applyBorder="0" applyAlignment="0" applyProtection="0"/>
    <xf numFmtId="186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0" fontId="10" fillId="0" borderId="0"/>
    <xf numFmtId="0" fontId="9" fillId="0" borderId="0"/>
    <xf numFmtId="41" fontId="1" fillId="0" borderId="0" applyFont="0" applyFill="0" applyBorder="0" applyAlignment="0" applyProtection="0">
      <alignment vertical="center"/>
    </xf>
    <xf numFmtId="182" fontId="9" fillId="0" borderId="0" applyFont="0" applyFill="0" applyBorder="0" applyAlignment="0" applyProtection="0"/>
    <xf numFmtId="183" fontId="9" fillId="0" borderId="0" applyFont="0" applyFill="0" applyBorder="0" applyAlignment="0" applyProtection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0" fillId="0" borderId="0" xfId="0" applyNumberFormat="1" applyAlignment="1">
      <alignment horizontal="right" vertical="center" shrinkToFit="1"/>
    </xf>
    <xf numFmtId="0" fontId="0" fillId="0" borderId="0" xfId="0" applyAlignment="1">
      <alignment horizontal="center" vertical="center" shrinkToFit="1"/>
    </xf>
    <xf numFmtId="0" fontId="2" fillId="0" borderId="0" xfId="0" applyFont="1">
      <alignment vertical="center"/>
    </xf>
    <xf numFmtId="181" fontId="0" fillId="0" borderId="0" xfId="0" applyNumberFormat="1" applyAlignment="1">
      <alignment horizontal="center" vertical="center" shrinkToFit="1"/>
    </xf>
    <xf numFmtId="181" fontId="0" fillId="5" borderId="0" xfId="0" applyNumberFormat="1" applyFill="1" applyAlignment="1">
      <alignment horizontal="center" vertical="center" shrinkToFit="1"/>
    </xf>
    <xf numFmtId="0" fontId="0" fillId="5" borderId="0" xfId="0" applyFill="1" applyAlignment="1">
      <alignment horizontal="center" vertical="center" shrinkToFit="1"/>
    </xf>
    <xf numFmtId="176" fontId="0" fillId="5" borderId="0" xfId="0" applyNumberFormat="1" applyFill="1" applyAlignment="1">
      <alignment horizontal="right" vertical="center" shrinkToFit="1"/>
    </xf>
    <xf numFmtId="181" fontId="4" fillId="4" borderId="0" xfId="0" applyNumberFormat="1" applyFont="1" applyFill="1" applyAlignment="1">
      <alignment horizontal="center" vertical="center" shrinkToFit="1"/>
    </xf>
    <xf numFmtId="0" fontId="4" fillId="4" borderId="0" xfId="0" applyFont="1" applyFill="1" applyAlignment="1">
      <alignment horizontal="center" vertical="center" shrinkToFit="1"/>
    </xf>
    <xf numFmtId="176" fontId="4" fillId="4" borderId="0" xfId="0" applyNumberFormat="1" applyFont="1" applyFill="1" applyAlignment="1">
      <alignment horizontal="right" vertical="center" shrinkToFit="1"/>
    </xf>
    <xf numFmtId="181" fontId="4" fillId="3" borderId="0" xfId="0" applyNumberFormat="1" applyFont="1" applyFill="1" applyAlignment="1">
      <alignment horizontal="center" vertical="center" shrinkToFit="1"/>
    </xf>
    <xf numFmtId="0" fontId="4" fillId="3" borderId="0" xfId="0" applyFont="1" applyFill="1" applyAlignment="1">
      <alignment horizontal="center" vertical="center" shrinkToFit="1"/>
    </xf>
    <xf numFmtId="176" fontId="4" fillId="3" borderId="0" xfId="0" applyNumberFormat="1" applyFont="1" applyFill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2" borderId="1" xfId="0" applyFont="1" applyFill="1" applyBorder="1" applyAlignment="1">
      <alignment horizontal="center" vertical="center" shrinkToFit="1"/>
    </xf>
    <xf numFmtId="0" fontId="11" fillId="2" borderId="0" xfId="0" applyFont="1" applyFill="1" applyAlignment="1">
      <alignment horizontal="center" vertical="center" shrinkToFit="1"/>
    </xf>
    <xf numFmtId="179" fontId="11" fillId="0" borderId="2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shrinkToFit="1"/>
    </xf>
    <xf numFmtId="41" fontId="11" fillId="2" borderId="1" xfId="0" applyNumberFormat="1" applyFont="1" applyFill="1" applyBorder="1" applyAlignment="1">
      <alignment horizontal="center" vertical="center" shrinkToFit="1"/>
    </xf>
    <xf numFmtId="0" fontId="11" fillId="0" borderId="2" xfId="0" applyFont="1" applyBorder="1" applyAlignment="1">
      <alignment horizontal="center" vertical="center" shrinkToFit="1"/>
    </xf>
    <xf numFmtId="41" fontId="11" fillId="0" borderId="2" xfId="0" applyNumberFormat="1" applyFont="1" applyBorder="1" applyAlignment="1">
      <alignment horizontal="center" vertical="center" shrinkToFit="1"/>
    </xf>
    <xf numFmtId="41" fontId="11" fillId="0" borderId="0" xfId="0" applyNumberFormat="1" applyFont="1" applyAlignment="1">
      <alignment horizontal="center" vertical="center" shrinkToFit="1"/>
    </xf>
    <xf numFmtId="0" fontId="11" fillId="7" borderId="1" xfId="0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0" fillId="7" borderId="0" xfId="0" applyFill="1" applyAlignment="1">
      <alignment horizontal="center" vertical="center"/>
    </xf>
    <xf numFmtId="181" fontId="5" fillId="6" borderId="1" xfId="0" applyNumberFormat="1" applyFont="1" applyFill="1" applyBorder="1" applyAlignment="1">
      <alignment horizontal="center" vertical="center" shrinkToFit="1"/>
    </xf>
    <xf numFmtId="0" fontId="5" fillId="6" borderId="1" xfId="0" applyFont="1" applyFill="1" applyBorder="1" applyAlignment="1">
      <alignment horizontal="center" vertical="center" shrinkToFit="1"/>
    </xf>
    <xf numFmtId="176" fontId="5" fillId="6" borderId="1" xfId="0" applyNumberFormat="1" applyFont="1" applyFill="1" applyBorder="1" applyAlignment="1">
      <alignment horizontal="center" vertical="center" shrinkToFit="1"/>
    </xf>
    <xf numFmtId="181" fontId="6" fillId="3" borderId="1" xfId="0" applyNumberFormat="1" applyFont="1" applyFill="1" applyBorder="1" applyAlignment="1">
      <alignment horizontal="center" vertical="center" shrinkToFit="1"/>
    </xf>
    <xf numFmtId="177" fontId="6" fillId="3" borderId="1" xfId="0" applyNumberFormat="1" applyFont="1" applyFill="1" applyBorder="1" applyAlignment="1">
      <alignment horizontal="center" vertical="center" shrinkToFit="1"/>
    </xf>
    <xf numFmtId="14" fontId="7" fillId="0" borderId="0" xfId="0" applyNumberFormat="1" applyFont="1" applyAlignment="1">
      <alignment horizontal="center" vertical="center" shrinkToFit="1"/>
    </xf>
    <xf numFmtId="0" fontId="7" fillId="0" borderId="0" xfId="0" applyFont="1" applyAlignment="1">
      <alignment vertical="center" shrinkToFi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1" fillId="0" borderId="0" xfId="0" applyFont="1">
      <alignment vertical="center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8" fontId="13" fillId="0" borderId="0" xfId="0" applyNumberFormat="1" applyFont="1" applyAlignment="1">
      <alignment vertical="center" shrinkToFit="1"/>
    </xf>
    <xf numFmtId="0" fontId="13" fillId="0" borderId="0" xfId="0" applyFont="1" applyAlignment="1">
      <alignment vertical="center" wrapText="1" shrinkToFit="1"/>
    </xf>
    <xf numFmtId="41" fontId="13" fillId="0" borderId="0" xfId="0" applyNumberFormat="1" applyFont="1" applyAlignment="1">
      <alignment vertical="center" shrinkToFit="1"/>
    </xf>
    <xf numFmtId="10" fontId="13" fillId="0" borderId="0" xfId="0" applyNumberFormat="1" applyFont="1" applyAlignment="1">
      <alignment vertical="center" shrinkToFit="1"/>
    </xf>
    <xf numFmtId="10" fontId="13" fillId="0" borderId="0" xfId="0" applyNumberFormat="1" applyFont="1" applyAlignment="1">
      <alignment horizontal="center" vertical="center" shrinkToFit="1"/>
    </xf>
    <xf numFmtId="177" fontId="11" fillId="0" borderId="0" xfId="0" applyNumberFormat="1" applyFont="1">
      <alignment vertical="center"/>
    </xf>
    <xf numFmtId="176" fontId="13" fillId="0" borderId="0" xfId="0" applyNumberFormat="1" applyFont="1" applyAlignment="1">
      <alignment vertical="center" shrinkToFit="1"/>
    </xf>
    <xf numFmtId="41" fontId="13" fillId="0" borderId="0" xfId="0" applyNumberFormat="1" applyFont="1" applyAlignment="1">
      <alignment horizontal="right" vertical="center" shrinkToFit="1"/>
    </xf>
    <xf numFmtId="180" fontId="13" fillId="0" borderId="0" xfId="0" applyNumberFormat="1" applyFont="1" applyAlignment="1">
      <alignment vertical="center" shrinkToFit="1"/>
    </xf>
    <xf numFmtId="180" fontId="13" fillId="0" borderId="0" xfId="0" applyNumberFormat="1" applyFont="1" applyAlignment="1">
      <alignment horizontal="right" vertical="center" shrinkToFit="1"/>
    </xf>
    <xf numFmtId="10" fontId="13" fillId="0" borderId="0" xfId="0" applyNumberFormat="1" applyFont="1" applyAlignment="1">
      <alignment horizontal="right" vertical="center" shrinkToFit="1"/>
    </xf>
    <xf numFmtId="9" fontId="13" fillId="0" borderId="0" xfId="0" applyNumberFormat="1" applyFont="1" applyAlignment="1">
      <alignment horizontal="center" vertical="center" shrinkToFit="1"/>
    </xf>
    <xf numFmtId="43" fontId="13" fillId="0" borderId="0" xfId="0" applyNumberFormat="1" applyFont="1" applyAlignment="1">
      <alignment horizontal="right" vertical="center" shrinkToFit="1"/>
    </xf>
    <xf numFmtId="176" fontId="6" fillId="3" borderId="1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right" vertical="center"/>
    </xf>
    <xf numFmtId="41" fontId="0" fillId="0" borderId="0" xfId="11" applyFont="1">
      <alignment vertical="center"/>
    </xf>
    <xf numFmtId="0" fontId="11" fillId="0" borderId="0" xfId="0" applyFont="1" applyAlignment="1">
      <alignment horizontal="center" vertical="center"/>
    </xf>
    <xf numFmtId="188" fontId="11" fillId="0" borderId="0" xfId="0" applyNumberFormat="1" applyFont="1" applyAlignment="1">
      <alignment horizontal="center" vertical="center"/>
    </xf>
    <xf numFmtId="176" fontId="11" fillId="0" borderId="0" xfId="0" applyNumberFormat="1" applyFont="1">
      <alignment vertical="center"/>
    </xf>
    <xf numFmtId="189" fontId="11" fillId="0" borderId="0" xfId="0" applyNumberFormat="1" applyFont="1">
      <alignment vertical="center"/>
    </xf>
    <xf numFmtId="0" fontId="0" fillId="0" borderId="1" xfId="0" applyBorder="1" applyAlignment="1">
      <alignment horizontal="center" vertical="center"/>
    </xf>
    <xf numFmtId="177" fontId="11" fillId="0" borderId="1" xfId="0" applyNumberFormat="1" applyFont="1" applyBorder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176" fontId="0" fillId="5" borderId="0" xfId="0" applyNumberFormat="1" applyFill="1" applyAlignment="1">
      <alignment horizontal="center" vertical="center" shrinkToFit="1"/>
    </xf>
    <xf numFmtId="176" fontId="4" fillId="4" borderId="0" xfId="0" applyNumberFormat="1" applyFont="1" applyFill="1" applyAlignment="1">
      <alignment horizontal="center" vertical="center" shrinkToFit="1"/>
    </xf>
    <xf numFmtId="190" fontId="3" fillId="10" borderId="1" xfId="0" applyNumberFormat="1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176" fontId="6" fillId="11" borderId="1" xfId="0" applyNumberFormat="1" applyFont="1" applyFill="1" applyBorder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 shrinkToFit="1"/>
    </xf>
    <xf numFmtId="181" fontId="15" fillId="10" borderId="0" xfId="0" applyNumberFormat="1" applyFont="1" applyFill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3" fillId="0" borderId="0" xfId="0" applyFont="1" applyAlignment="1">
      <alignment vertical="center" shrinkToFit="1"/>
    </xf>
    <xf numFmtId="177" fontId="3" fillId="0" borderId="0" xfId="0" applyNumberFormat="1" applyFont="1" applyAlignment="1">
      <alignment vertical="center" shrinkToFit="1"/>
    </xf>
    <xf numFmtId="0" fontId="11" fillId="0" borderId="1" xfId="0" applyFont="1" applyBorder="1" applyAlignment="1">
      <alignment horizontal="center" vertical="center"/>
    </xf>
    <xf numFmtId="188" fontId="11" fillId="0" borderId="1" xfId="0" applyNumberFormat="1" applyFont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5" xfId="0" applyFont="1" applyBorder="1">
      <alignment vertical="center"/>
    </xf>
    <xf numFmtId="0" fontId="11" fillId="0" borderId="10" xfId="0" applyFont="1" applyBorder="1" applyAlignment="1">
      <alignment horizontal="left" vertical="center"/>
    </xf>
    <xf numFmtId="178" fontId="11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 wrapText="1" shrinkToFit="1"/>
    </xf>
    <xf numFmtId="191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1" fontId="13" fillId="9" borderId="1" xfId="0" applyNumberFormat="1" applyFont="1" applyFill="1" applyBorder="1" applyAlignment="1">
      <alignment horizontal="center" vertical="center" shrinkToFit="1"/>
    </xf>
    <xf numFmtId="10" fontId="13" fillId="9" borderId="1" xfId="0" applyNumberFormat="1" applyFont="1" applyFill="1" applyBorder="1" applyAlignment="1">
      <alignment horizontal="center" vertical="center" shrinkToFit="1"/>
    </xf>
    <xf numFmtId="10" fontId="13" fillId="9" borderId="5" xfId="0" applyNumberFormat="1" applyFont="1" applyFill="1" applyBorder="1" applyAlignment="1">
      <alignment horizontal="center" vertical="center" shrinkToFit="1"/>
    </xf>
    <xf numFmtId="178" fontId="13" fillId="8" borderId="12" xfId="0" applyNumberFormat="1" applyFont="1" applyFill="1" applyBorder="1" applyAlignment="1">
      <alignment horizontal="center" vertical="center" shrinkToFit="1"/>
    </xf>
    <xf numFmtId="178" fontId="13" fillId="8" borderId="2" xfId="0" applyNumberFormat="1" applyFont="1" applyFill="1" applyBorder="1" applyAlignment="1">
      <alignment horizontal="center" vertical="center" shrinkToFit="1"/>
    </xf>
    <xf numFmtId="178" fontId="13" fillId="8" borderId="10" xfId="0" applyNumberFormat="1" applyFont="1" applyFill="1" applyBorder="1" applyAlignment="1">
      <alignment horizontal="center" vertical="center" shrinkToFit="1"/>
    </xf>
    <xf numFmtId="0" fontId="13" fillId="7" borderId="4" xfId="0" applyFont="1" applyFill="1" applyBorder="1" applyAlignment="1">
      <alignment horizontal="center" vertical="center" shrinkToFit="1"/>
    </xf>
    <xf numFmtId="0" fontId="13" fillId="7" borderId="1" xfId="0" applyFont="1" applyFill="1" applyBorder="1" applyAlignment="1">
      <alignment horizontal="center" vertical="center" shrinkToFit="1"/>
    </xf>
    <xf numFmtId="0" fontId="13" fillId="7" borderId="5" xfId="0" applyFont="1" applyFill="1" applyBorder="1" applyAlignment="1">
      <alignment horizontal="center" vertical="center" shrinkToFit="1"/>
    </xf>
    <xf numFmtId="0" fontId="13" fillId="7" borderId="12" xfId="0" applyFont="1" applyFill="1" applyBorder="1" applyAlignment="1">
      <alignment horizontal="center" vertical="center" shrinkToFit="1"/>
    </xf>
    <xf numFmtId="0" fontId="13" fillId="7" borderId="2" xfId="0" applyFont="1" applyFill="1" applyBorder="1" applyAlignment="1">
      <alignment horizontal="center" vertical="center" shrinkToFit="1"/>
    </xf>
    <xf numFmtId="0" fontId="13" fillId="7" borderId="13" xfId="0" applyFont="1" applyFill="1" applyBorder="1" applyAlignment="1">
      <alignment horizontal="center" vertical="center" shrinkToFit="1"/>
    </xf>
    <xf numFmtId="178" fontId="13" fillId="8" borderId="1" xfId="0" applyNumberFormat="1" applyFont="1" applyFill="1" applyBorder="1" applyAlignment="1">
      <alignment horizontal="center" vertical="center" shrinkToFit="1"/>
    </xf>
    <xf numFmtId="41" fontId="13" fillId="0" borderId="1" xfId="0" applyNumberFormat="1" applyFont="1" applyBorder="1" applyAlignment="1">
      <alignment horizontal="center" vertical="center" shrinkToFit="1"/>
    </xf>
    <xf numFmtId="41" fontId="13" fillId="9" borderId="14" xfId="0" applyNumberFormat="1" applyFont="1" applyFill="1" applyBorder="1" applyAlignment="1">
      <alignment horizontal="center" vertical="center" shrinkToFit="1"/>
    </xf>
    <xf numFmtId="41" fontId="13" fillId="9" borderId="2" xfId="0" applyNumberFormat="1" applyFont="1" applyFill="1" applyBorder="1" applyAlignment="1">
      <alignment horizontal="center" vertical="center" shrinkToFit="1"/>
    </xf>
    <xf numFmtId="41" fontId="13" fillId="9" borderId="13" xfId="0" applyNumberFormat="1" applyFont="1" applyFill="1" applyBorder="1" applyAlignment="1">
      <alignment horizontal="center" vertical="center" shrinkToFit="1"/>
    </xf>
    <xf numFmtId="41" fontId="13" fillId="0" borderId="14" xfId="0" applyNumberFormat="1" applyFont="1" applyBorder="1" applyAlignment="1">
      <alignment horizontal="center" vertical="center" shrinkToFit="1"/>
    </xf>
    <xf numFmtId="41" fontId="13" fillId="0" borderId="2" xfId="0" applyNumberFormat="1" applyFont="1" applyBorder="1" applyAlignment="1">
      <alignment horizontal="center" vertical="center" shrinkToFit="1"/>
    </xf>
    <xf numFmtId="41" fontId="13" fillId="0" borderId="10" xfId="0" applyNumberFormat="1" applyFont="1" applyBorder="1" applyAlignment="1">
      <alignment horizontal="center" vertical="center" shrinkToFit="1"/>
    </xf>
    <xf numFmtId="0" fontId="11" fillId="0" borderId="14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shrinkToFit="1"/>
    </xf>
    <xf numFmtId="0" fontId="8" fillId="0" borderId="3" xfId="0" applyFont="1" applyBorder="1" applyAlignment="1">
      <alignment horizontal="center" vertical="center" shrinkToFit="1"/>
    </xf>
    <xf numFmtId="41" fontId="13" fillId="7" borderId="7" xfId="0" applyNumberFormat="1" applyFont="1" applyFill="1" applyBorder="1" applyAlignment="1">
      <alignment horizontal="center" vertical="center" shrinkToFit="1"/>
    </xf>
    <xf numFmtId="10" fontId="13" fillId="7" borderId="7" xfId="0" applyNumberFormat="1" applyFont="1" applyFill="1" applyBorder="1" applyAlignment="1">
      <alignment horizontal="center" vertical="center" shrinkToFit="1"/>
    </xf>
    <xf numFmtId="10" fontId="13" fillId="7" borderId="8" xfId="0" applyNumberFormat="1" applyFont="1" applyFill="1" applyBorder="1" applyAlignment="1">
      <alignment horizontal="center" vertical="center" shrinkToFit="1"/>
    </xf>
    <xf numFmtId="0" fontId="13" fillId="7" borderId="9" xfId="0" applyFont="1" applyFill="1" applyBorder="1" applyAlignment="1">
      <alignment horizontal="center" vertical="center" shrinkToFit="1"/>
    </xf>
    <xf numFmtId="0" fontId="13" fillId="7" borderId="7" xfId="0" applyFont="1" applyFill="1" applyBorder="1" applyAlignment="1">
      <alignment horizontal="center" vertical="center" shrinkToFit="1"/>
    </xf>
    <xf numFmtId="0" fontId="13" fillId="0" borderId="0" xfId="0" applyFont="1" applyAlignment="1">
      <alignment horizontal="center" vertical="center" wrapText="1" shrinkToFit="1"/>
    </xf>
    <xf numFmtId="0" fontId="13" fillId="7" borderId="6" xfId="0" applyFont="1" applyFill="1" applyBorder="1" applyAlignment="1">
      <alignment horizontal="center" vertical="center" shrinkToFit="1"/>
    </xf>
    <xf numFmtId="0" fontId="13" fillId="7" borderId="8" xfId="0" applyFont="1" applyFill="1" applyBorder="1" applyAlignment="1">
      <alignment horizontal="center" vertical="center" shrinkToFit="1"/>
    </xf>
  </cellXfs>
  <cellStyles count="12">
    <cellStyle name="Comma [0]_ SG&amp;A Bridge " xfId="1" xr:uid="{00000000-0005-0000-0000-000000000000}"/>
    <cellStyle name="Comma_ SG&amp;A Bridge " xfId="2" xr:uid="{00000000-0005-0000-0000-000001000000}"/>
    <cellStyle name="Currency [0]_ SG&amp;A Bridge " xfId="3" xr:uid="{00000000-0005-0000-0000-000002000000}"/>
    <cellStyle name="Currency_ SG&amp;A Bridge " xfId="4" xr:uid="{00000000-0005-0000-0000-000003000000}"/>
    <cellStyle name="Normal_ SG&amp;A Bridge " xfId="5" xr:uid="{00000000-0005-0000-0000-000004000000}"/>
    <cellStyle name="뷭?_BOOKSHIP" xfId="6" xr:uid="{00000000-0005-0000-0000-000005000000}"/>
    <cellStyle name="쉼표 [0]" xfId="11" builtinId="6"/>
    <cellStyle name="쉼표 [0] 2" xfId="7" xr:uid="{00000000-0005-0000-0000-000007000000}"/>
    <cellStyle name="콤마 [0]_1" xfId="8" xr:uid="{00000000-0005-0000-0000-000008000000}"/>
    <cellStyle name="콤마_1" xfId="9" xr:uid="{00000000-0005-0000-0000-000009000000}"/>
    <cellStyle name="표준" xfId="0" builtinId="0"/>
    <cellStyle name="표준 2" xfId="10" xr:uid="{00000000-0005-0000-0000-00000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9</xdr:col>
      <xdr:colOff>0</xdr:colOff>
      <xdr:row>2</xdr:row>
      <xdr:rowOff>152400</xdr:rowOff>
    </xdr:to>
    <xdr:sp macro="" textlink="">
      <xdr:nvSpPr>
        <xdr:cNvPr id="7169" name="AutoShape 1">
          <a:extLst>
            <a:ext uri="{FF2B5EF4-FFF2-40B4-BE49-F238E27FC236}">
              <a16:creationId xmlns:a16="http://schemas.microsoft.com/office/drawing/2014/main" id="{00000000-0008-0000-0100-0000011C0000}"/>
            </a:ext>
          </a:extLst>
        </xdr:cNvPr>
        <xdr:cNvSpPr>
          <a:spLocks noChangeArrowheads="1"/>
        </xdr:cNvSpPr>
      </xdr:nvSpPr>
      <xdr:spPr bwMode="auto">
        <a:xfrm>
          <a:off x="66675" y="19050"/>
          <a:ext cx="7153275" cy="476250"/>
        </a:xfrm>
        <a:prstGeom prst="roundRect">
          <a:avLst>
            <a:gd name="adj" fmla="val 16667"/>
          </a:avLst>
        </a:prstGeom>
        <a:gradFill rotWithShape="1">
          <a:gsLst>
            <a:gs pos="0">
              <a:srgbClr val="969696"/>
            </a:gs>
            <a:gs pos="50000">
              <a:srgbClr val="FFFF99"/>
            </a:gs>
            <a:gs pos="100000">
              <a:srgbClr val="969696"/>
            </a:gs>
          </a:gsLst>
          <a:lin ang="5400000" scaled="1"/>
        </a:gradFill>
        <a:ln w="9525">
          <a:noFill/>
          <a:round/>
          <a:headEnd/>
          <a:tailEnd/>
        </a:ln>
      </xdr:spPr>
      <xdr:txBody>
        <a:bodyPr vertOverflow="clip" wrap="square" lIns="54864" tIns="32004" rIns="54864" bIns="0" anchor="t" upright="1"/>
        <a:lstStyle/>
        <a:p>
          <a:pPr algn="ctr" rtl="1">
            <a:defRPr sz="1000"/>
          </a:pPr>
          <a:r>
            <a:rPr lang="ko-KR" altLang="en-US" sz="2000" b="0" i="0" strike="noStrike">
              <a:solidFill>
                <a:srgbClr val="000000"/>
              </a:solidFill>
              <a:latin typeface="HY견고딕"/>
              <a:ea typeface="HY견고딕"/>
            </a:rPr>
            <a:t>입</a:t>
          </a:r>
          <a:r>
            <a:rPr lang="en-US" altLang="ko-KR" sz="2000" b="0" i="0" strike="noStrike">
              <a:solidFill>
                <a:srgbClr val="000000"/>
              </a:solidFill>
              <a:latin typeface="HY견고딕"/>
              <a:ea typeface="HY견고딕"/>
            </a:rPr>
            <a:t>/</a:t>
          </a:r>
          <a:r>
            <a:rPr lang="ko-KR" altLang="en-US" sz="2000" b="0" i="0" strike="noStrike">
              <a:solidFill>
                <a:srgbClr val="000000"/>
              </a:solidFill>
              <a:latin typeface="HY견고딕"/>
              <a:ea typeface="HY견고딕"/>
            </a:rPr>
            <a:t>출고 관리</a:t>
          </a:r>
        </a:p>
      </xdr:txBody>
    </xdr:sp>
    <xdr:clientData/>
  </xdr:twoCellAnchor>
  <xdr:twoCellAnchor>
    <xdr:from>
      <xdr:col>5</xdr:col>
      <xdr:colOff>571500</xdr:colOff>
      <xdr:row>7</xdr:row>
      <xdr:rowOff>95250</xdr:rowOff>
    </xdr:from>
    <xdr:to>
      <xdr:col>7</xdr:col>
      <xdr:colOff>47625</xdr:colOff>
      <xdr:row>9</xdr:row>
      <xdr:rowOff>66675</xdr:rowOff>
    </xdr:to>
    <xdr:sp macro="[0]!데이터_입력" textlink="">
      <xdr:nvSpPr>
        <xdr:cNvPr id="7178" name="Oval 10">
          <a:extLst>
            <a:ext uri="{FF2B5EF4-FFF2-40B4-BE49-F238E27FC236}">
              <a16:creationId xmlns:a16="http://schemas.microsoft.com/office/drawing/2014/main" id="{00000000-0008-0000-0100-00000A1C0000}"/>
            </a:ext>
          </a:extLst>
        </xdr:cNvPr>
        <xdr:cNvSpPr>
          <a:spLocks noChangeArrowheads="1"/>
        </xdr:cNvSpPr>
      </xdr:nvSpPr>
      <xdr:spPr bwMode="auto">
        <a:xfrm>
          <a:off x="4419600" y="1390650"/>
          <a:ext cx="1228725" cy="314325"/>
        </a:xfrm>
        <a:prstGeom prst="ellipse">
          <a:avLst/>
        </a:prstGeom>
        <a:gradFill rotWithShape="1">
          <a:gsLst>
            <a:gs pos="0">
              <a:srgbClr val="CCFFFF">
                <a:gamma/>
                <a:shade val="46275"/>
                <a:invGamma/>
              </a:srgbClr>
            </a:gs>
            <a:gs pos="50000">
              <a:srgbClr val="CCFFFF">
                <a:alpha val="77000"/>
              </a:srgbClr>
            </a:gs>
            <a:gs pos="100000">
              <a:srgbClr val="CCFFFF">
                <a:gamma/>
                <a:shade val="46275"/>
                <a:invGamma/>
              </a:srgbClr>
            </a:gs>
          </a:gsLst>
          <a:lin ang="5400000" scaled="1"/>
        </a:gra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36576" tIns="18288" rIns="36576" bIns="0" anchor="t" upright="1"/>
        <a:lstStyle/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돋움"/>
              <a:ea typeface="돋움"/>
            </a:rPr>
            <a:t>데이터입력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gradFill rotWithShape="1">
          <a:gsLst>
            <a:gs pos="0">
              <a:srgbClr val="CCFFFF">
                <a:gamma/>
                <a:shade val="46275"/>
                <a:invGamma/>
              </a:srgbClr>
            </a:gs>
            <a:gs pos="50000">
              <a:srgbClr val="CCFFFF">
                <a:alpha val="77000"/>
              </a:srgbClr>
            </a:gs>
            <a:gs pos="100000">
              <a:srgbClr val="CCFFFF">
                <a:gamma/>
                <a:shade val="46275"/>
                <a:invGamma/>
              </a:srgbClr>
            </a:gs>
          </a:gsLst>
          <a:lin ang="5400000" scaled="1"/>
        </a:gradFill>
        <a:ln w="9525" algn="ctr">
          <a:solidFill>
            <a:srgbClr val="000000"/>
          </a:solidFill>
          <a:round/>
          <a:headEnd/>
          <a:tailEnd/>
        </a:ln>
        <a:effectLst/>
      </a:spPr>
      <a:bodyPr vertOverflow="clip" wrap="square" lIns="36576" tIns="18288" rIns="36576" bIns="0" anchor="t" upright="1"/>
      <a:lstStyle>
        <a:defPPr algn="ctr" rtl="1">
          <a:defRPr sz="1100" b="1" i="0" strike="noStrike">
            <a:solidFill>
              <a:srgbClr val="000000"/>
            </a:solidFill>
            <a:latin typeface="돋움"/>
            <a:ea typeface="돋움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FFFF">
            <a:alpha val="77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>
    <tabColor theme="1"/>
  </sheetPr>
  <dimension ref="A1:D13"/>
  <sheetViews>
    <sheetView workbookViewId="0">
      <selection activeCell="A5" sqref="A5"/>
    </sheetView>
  </sheetViews>
  <sheetFormatPr defaultRowHeight="13.5" x14ac:dyDescent="0.15"/>
  <sheetData>
    <row r="1" spans="1:4" x14ac:dyDescent="0.15">
      <c r="A1" s="27" t="s">
        <v>6</v>
      </c>
      <c r="B1" s="1"/>
      <c r="C1" s="1"/>
      <c r="D1" s="1"/>
    </row>
    <row r="2" spans="1:4" x14ac:dyDescent="0.15">
      <c r="A2" s="1" t="s">
        <v>7</v>
      </c>
      <c r="B2" s="1"/>
      <c r="C2" s="1"/>
      <c r="D2" s="1"/>
    </row>
    <row r="3" spans="1:4" x14ac:dyDescent="0.15">
      <c r="A3" s="1" t="s">
        <v>8</v>
      </c>
      <c r="B3" s="1"/>
      <c r="C3" s="1"/>
      <c r="D3" s="1"/>
    </row>
    <row r="4" spans="1:4" x14ac:dyDescent="0.15">
      <c r="A4" s="1" t="s">
        <v>17</v>
      </c>
      <c r="B4" s="1"/>
      <c r="C4" s="1"/>
      <c r="D4" s="1"/>
    </row>
    <row r="5" spans="1:4" x14ac:dyDescent="0.15">
      <c r="A5" s="1"/>
      <c r="B5" s="1"/>
      <c r="C5" s="1"/>
      <c r="D5" s="1"/>
    </row>
    <row r="6" spans="1:4" x14ac:dyDescent="0.15">
      <c r="A6" s="1"/>
      <c r="B6" s="1"/>
      <c r="C6" s="1"/>
      <c r="D6" s="1"/>
    </row>
    <row r="7" spans="1:4" x14ac:dyDescent="0.15">
      <c r="A7" s="1"/>
      <c r="B7" s="1"/>
      <c r="C7" s="1"/>
    </row>
    <row r="8" spans="1:4" x14ac:dyDescent="0.15">
      <c r="A8" s="1"/>
      <c r="B8" s="1"/>
      <c r="C8" s="1"/>
    </row>
    <row r="9" spans="1:4" x14ac:dyDescent="0.15">
      <c r="A9" s="1"/>
      <c r="B9" s="1"/>
      <c r="C9" s="1"/>
    </row>
    <row r="10" spans="1:4" x14ac:dyDescent="0.15">
      <c r="A10" s="1"/>
      <c r="B10" s="1"/>
    </row>
    <row r="11" spans="1:4" x14ac:dyDescent="0.15">
      <c r="A11" s="1"/>
      <c r="B11" s="1"/>
    </row>
    <row r="12" spans="1:4" x14ac:dyDescent="0.15">
      <c r="A12" s="1"/>
      <c r="B12" s="1"/>
    </row>
    <row r="13" spans="1:4" x14ac:dyDescent="0.15">
      <c r="A13" s="1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>
    <tabColor indexed="12"/>
    <pageSetUpPr fitToPage="1"/>
  </sheetPr>
  <dimension ref="A1:N703"/>
  <sheetViews>
    <sheetView tabSelected="1" zoomScaleNormal="100" workbookViewId="0">
      <pane ySplit="12" topLeftCell="A13" activePane="bottomLeft" state="frozen"/>
      <selection pane="bottomLeft" activeCell="J28" sqref="J28"/>
    </sheetView>
  </sheetViews>
  <sheetFormatPr defaultRowHeight="13.5" x14ac:dyDescent="0.15"/>
  <cols>
    <col min="1" max="1" width="0.6640625" customWidth="1"/>
    <col min="2" max="3" width="8.77734375" style="6" customWidth="1"/>
    <col min="4" max="4" width="12.33203125" style="4" customWidth="1"/>
    <col min="5" max="5" width="14.109375" style="4" customWidth="1"/>
    <col min="6" max="6" width="10.21875" style="4" customWidth="1"/>
    <col min="7" max="7" width="10.21875" style="65" customWidth="1"/>
    <col min="8" max="8" width="10.21875" style="3" customWidth="1"/>
    <col min="9" max="9" width="8.88671875" style="75"/>
    <col min="10" max="10" width="15.77734375" style="2" customWidth="1"/>
    <col min="11" max="11" width="14.6640625" bestFit="1" customWidth="1"/>
    <col min="12" max="12" width="17.21875" bestFit="1" customWidth="1"/>
    <col min="13" max="13" width="42.5546875" customWidth="1"/>
    <col min="14" max="14" width="14.6640625" bestFit="1" customWidth="1"/>
    <col min="15" max="15" width="17.21875" bestFit="1" customWidth="1"/>
    <col min="16" max="16" width="30.109375" bestFit="1" customWidth="1"/>
  </cols>
  <sheetData>
    <row r="1" spans="2:12" x14ac:dyDescent="0.15">
      <c r="B1" s="72" t="s">
        <v>61</v>
      </c>
      <c r="K1" t="s">
        <v>34</v>
      </c>
      <c r="L1" t="s">
        <v>36</v>
      </c>
    </row>
    <row r="2" spans="2:12" x14ac:dyDescent="0.15">
      <c r="K2" t="s">
        <v>35</v>
      </c>
      <c r="L2" t="s">
        <v>37</v>
      </c>
    </row>
    <row r="3" spans="2:12" x14ac:dyDescent="0.15">
      <c r="K3" t="s">
        <v>43</v>
      </c>
      <c r="L3" t="s">
        <v>44</v>
      </c>
    </row>
    <row r="4" spans="2:12" x14ac:dyDescent="0.15">
      <c r="B4" s="7"/>
      <c r="C4" s="7"/>
      <c r="D4" s="8"/>
      <c r="E4" s="8"/>
      <c r="F4" s="8"/>
      <c r="G4" s="66"/>
      <c r="H4" s="9"/>
      <c r="I4" s="8"/>
      <c r="K4" t="s">
        <v>46</v>
      </c>
      <c r="L4" t="s">
        <v>47</v>
      </c>
    </row>
    <row r="5" spans="2:12" x14ac:dyDescent="0.15">
      <c r="B5" s="7"/>
      <c r="C5" s="7"/>
      <c r="D5" s="8"/>
      <c r="E5" s="8"/>
      <c r="F5" s="8"/>
      <c r="G5" s="66"/>
      <c r="H5" s="9"/>
      <c r="I5" s="8"/>
    </row>
    <row r="6" spans="2:12" ht="20.100000000000001" customHeight="1" x14ac:dyDescent="0.15">
      <c r="B6" s="28" t="s">
        <v>5</v>
      </c>
      <c r="C6" s="28" t="s">
        <v>9</v>
      </c>
      <c r="D6" s="29" t="s">
        <v>1</v>
      </c>
      <c r="E6" s="29" t="s">
        <v>2</v>
      </c>
      <c r="F6" s="29" t="s">
        <v>51</v>
      </c>
      <c r="G6" s="30" t="s">
        <v>40</v>
      </c>
      <c r="H6" s="30" t="s">
        <v>15</v>
      </c>
      <c r="I6" s="29" t="s">
        <v>42</v>
      </c>
      <c r="J6" s="69" t="s">
        <v>39</v>
      </c>
    </row>
    <row r="7" spans="2:12" ht="15" customHeight="1" x14ac:dyDescent="0.15">
      <c r="B7" s="31" t="s">
        <v>97</v>
      </c>
      <c r="C7" s="31">
        <v>46283</v>
      </c>
      <c r="D7" s="32" t="s">
        <v>21</v>
      </c>
      <c r="E7" s="32" t="s">
        <v>63</v>
      </c>
      <c r="F7" s="73"/>
      <c r="G7" s="70">
        <f>J7*H7</f>
        <v>0</v>
      </c>
      <c r="H7" s="56">
        <v>45000</v>
      </c>
      <c r="I7" s="26"/>
      <c r="J7" s="68">
        <f>VLOOKUP(E7,단가표!A1:B21,2,FALSE)</f>
        <v>0</v>
      </c>
    </row>
    <row r="8" spans="2:12" x14ac:dyDescent="0.15">
      <c r="B8" s="10" t="s">
        <v>4</v>
      </c>
      <c r="C8" s="10"/>
      <c r="D8" s="11"/>
      <c r="E8" s="8"/>
      <c r="F8" s="11"/>
      <c r="G8" s="67"/>
      <c r="H8" s="12"/>
      <c r="I8" s="8"/>
      <c r="J8" s="57"/>
    </row>
    <row r="9" spans="2:12" x14ac:dyDescent="0.15">
      <c r="B9" s="7"/>
      <c r="C9" s="7"/>
      <c r="D9" s="8"/>
      <c r="E9" s="8"/>
      <c r="F9" s="8"/>
      <c r="G9" s="66"/>
      <c r="H9" s="9"/>
      <c r="I9" s="8"/>
    </row>
    <row r="10" spans="2:12" x14ac:dyDescent="0.15">
      <c r="B10" s="7"/>
      <c r="C10" s="7"/>
      <c r="D10" s="8"/>
      <c r="E10" s="8"/>
      <c r="F10" s="8"/>
      <c r="G10" s="66"/>
      <c r="H10" s="9"/>
      <c r="I10" s="8"/>
    </row>
    <row r="11" spans="2:12" x14ac:dyDescent="0.15">
      <c r="I11" s="4"/>
    </row>
    <row r="12" spans="2:12" ht="14.1" customHeight="1" x14ac:dyDescent="0.15">
      <c r="B12" s="13" t="s">
        <v>10</v>
      </c>
      <c r="C12" s="13" t="s">
        <v>11</v>
      </c>
      <c r="D12" s="14" t="s">
        <v>1</v>
      </c>
      <c r="E12" s="14" t="s">
        <v>0</v>
      </c>
      <c r="F12" s="14" t="s">
        <v>51</v>
      </c>
      <c r="G12" s="15" t="s">
        <v>40</v>
      </c>
      <c r="H12" s="15" t="s">
        <v>16</v>
      </c>
      <c r="I12" s="14" t="s">
        <v>41</v>
      </c>
    </row>
    <row r="13" spans="2:12" x14ac:dyDescent="0.15">
      <c r="B13" s="6" t="s">
        <v>97</v>
      </c>
      <c r="C13" s="6">
        <v>46283</v>
      </c>
      <c r="D13" s="4" t="s">
        <v>21</v>
      </c>
      <c r="E13" s="4" t="s">
        <v>23</v>
      </c>
      <c r="H13" s="3">
        <v>200000</v>
      </c>
    </row>
    <row r="14" spans="2:12" x14ac:dyDescent="0.15">
      <c r="B14" s="6" t="s">
        <v>97</v>
      </c>
      <c r="C14" s="6">
        <v>46283</v>
      </c>
      <c r="D14" s="4" t="s">
        <v>21</v>
      </c>
      <c r="E14" s="4" t="s">
        <v>25</v>
      </c>
      <c r="H14" s="3">
        <v>6000</v>
      </c>
    </row>
    <row r="15" spans="2:12" x14ac:dyDescent="0.15">
      <c r="B15" s="6" t="s">
        <v>97</v>
      </c>
      <c r="C15" s="6">
        <v>46283</v>
      </c>
      <c r="D15" s="4" t="s">
        <v>21</v>
      </c>
      <c r="E15" s="4" t="s">
        <v>27</v>
      </c>
      <c r="H15" s="3">
        <v>75000</v>
      </c>
    </row>
    <row r="16" spans="2:12" x14ac:dyDescent="0.15">
      <c r="B16" s="6" t="s">
        <v>97</v>
      </c>
      <c r="C16" s="6">
        <v>46283</v>
      </c>
      <c r="D16" s="4" t="s">
        <v>21</v>
      </c>
      <c r="E16" s="4" t="s">
        <v>32</v>
      </c>
      <c r="H16" s="3">
        <v>145000</v>
      </c>
    </row>
    <row r="17" spans="2:8" x14ac:dyDescent="0.15">
      <c r="B17" s="6" t="s">
        <v>97</v>
      </c>
      <c r="C17" s="6">
        <v>46283</v>
      </c>
      <c r="D17" s="4" t="s">
        <v>21</v>
      </c>
      <c r="E17" s="4" t="s">
        <v>33</v>
      </c>
      <c r="H17" s="3">
        <v>155000</v>
      </c>
    </row>
    <row r="18" spans="2:8" x14ac:dyDescent="0.15">
      <c r="B18" s="6" t="s">
        <v>97</v>
      </c>
      <c r="C18" s="6">
        <v>46283</v>
      </c>
      <c r="D18" s="4" t="s">
        <v>21</v>
      </c>
      <c r="E18" s="4" t="s">
        <v>45</v>
      </c>
      <c r="H18" s="3">
        <v>120000</v>
      </c>
    </row>
    <row r="19" spans="2:8" x14ac:dyDescent="0.15">
      <c r="B19" s="6" t="s">
        <v>97</v>
      </c>
      <c r="C19" s="6">
        <v>46283</v>
      </c>
      <c r="D19" s="4" t="s">
        <v>21</v>
      </c>
      <c r="E19" s="4" t="s">
        <v>82</v>
      </c>
      <c r="H19" s="3">
        <v>74000</v>
      </c>
    </row>
    <row r="20" spans="2:8" x14ac:dyDescent="0.15">
      <c r="B20" s="6" t="s">
        <v>97</v>
      </c>
      <c r="C20" s="6">
        <v>46283</v>
      </c>
      <c r="D20" s="4" t="s">
        <v>21</v>
      </c>
      <c r="E20" s="4" t="s">
        <v>57</v>
      </c>
      <c r="H20" s="3">
        <v>83000</v>
      </c>
    </row>
    <row r="21" spans="2:8" x14ac:dyDescent="0.15">
      <c r="B21" s="6" t="s">
        <v>97</v>
      </c>
      <c r="C21" s="6">
        <v>46283</v>
      </c>
      <c r="D21" s="4" t="s">
        <v>21</v>
      </c>
      <c r="E21" s="4" t="s">
        <v>83</v>
      </c>
      <c r="H21" s="3">
        <v>180000</v>
      </c>
    </row>
    <row r="22" spans="2:8" x14ac:dyDescent="0.15">
      <c r="B22" s="6" t="s">
        <v>97</v>
      </c>
      <c r="C22" s="6">
        <v>46283</v>
      </c>
      <c r="D22" s="4" t="s">
        <v>21</v>
      </c>
      <c r="E22" s="4" t="s">
        <v>62</v>
      </c>
      <c r="H22" s="3">
        <v>155000</v>
      </c>
    </row>
    <row r="23" spans="2:8" x14ac:dyDescent="0.15">
      <c r="B23" s="6" t="s">
        <v>97</v>
      </c>
      <c r="C23" s="6">
        <v>46283</v>
      </c>
      <c r="D23" s="4" t="s">
        <v>21</v>
      </c>
      <c r="E23" s="4" t="s">
        <v>63</v>
      </c>
      <c r="H23" s="3">
        <v>45000</v>
      </c>
    </row>
    <row r="34" spans="9:9" x14ac:dyDescent="0.15">
      <c r="I34" s="76"/>
    </row>
    <row r="35" spans="9:9" x14ac:dyDescent="0.15">
      <c r="I35" s="76"/>
    </row>
    <row r="36" spans="9:9" x14ac:dyDescent="0.15">
      <c r="I36" s="76"/>
    </row>
    <row r="37" spans="9:9" x14ac:dyDescent="0.15">
      <c r="I37" s="76"/>
    </row>
    <row r="38" spans="9:9" x14ac:dyDescent="0.15">
      <c r="I38" s="76"/>
    </row>
    <row r="39" spans="9:9" x14ac:dyDescent="0.15">
      <c r="I39" s="76"/>
    </row>
    <row r="40" spans="9:9" x14ac:dyDescent="0.15">
      <c r="I40" s="76"/>
    </row>
    <row r="41" spans="9:9" x14ac:dyDescent="0.15">
      <c r="I41" s="76"/>
    </row>
    <row r="42" spans="9:9" x14ac:dyDescent="0.15">
      <c r="I42" s="76"/>
    </row>
    <row r="43" spans="9:9" x14ac:dyDescent="0.15">
      <c r="I43" s="76"/>
    </row>
    <row r="45" spans="9:9" x14ac:dyDescent="0.15">
      <c r="I45" s="76"/>
    </row>
    <row r="46" spans="9:9" x14ac:dyDescent="0.15">
      <c r="I46" s="76"/>
    </row>
    <row r="47" spans="9:9" x14ac:dyDescent="0.15">
      <c r="I47" s="76"/>
    </row>
    <row r="48" spans="9:9" x14ac:dyDescent="0.15">
      <c r="I48" s="76"/>
    </row>
    <row r="49" spans="9:14" x14ac:dyDescent="0.15">
      <c r="I49" s="76"/>
    </row>
    <row r="50" spans="9:14" x14ac:dyDescent="0.15">
      <c r="I50" s="76"/>
    </row>
    <row r="51" spans="9:14" x14ac:dyDescent="0.15">
      <c r="I51" s="76"/>
    </row>
    <row r="52" spans="9:14" x14ac:dyDescent="0.15">
      <c r="I52" s="76"/>
    </row>
    <row r="53" spans="9:14" x14ac:dyDescent="0.15">
      <c r="I53" s="76"/>
    </row>
    <row r="54" spans="9:14" x14ac:dyDescent="0.15">
      <c r="I54" s="76"/>
    </row>
    <row r="55" spans="9:14" x14ac:dyDescent="0.15">
      <c r="I55" s="76"/>
    </row>
    <row r="56" spans="9:14" x14ac:dyDescent="0.15">
      <c r="I56" s="76"/>
    </row>
    <row r="57" spans="9:14" x14ac:dyDescent="0.15">
      <c r="I57" s="76"/>
    </row>
    <row r="58" spans="9:14" x14ac:dyDescent="0.15">
      <c r="I58" s="76"/>
    </row>
    <row r="59" spans="9:14" x14ac:dyDescent="0.15">
      <c r="I59" s="76"/>
    </row>
    <row r="60" spans="9:14" x14ac:dyDescent="0.15">
      <c r="I60" s="76"/>
    </row>
    <row r="61" spans="9:14" x14ac:dyDescent="0.15">
      <c r="I61" s="76"/>
    </row>
    <row r="62" spans="9:14" x14ac:dyDescent="0.15">
      <c r="I62" s="76"/>
      <c r="N62" s="58"/>
    </row>
    <row r="63" spans="9:14" x14ac:dyDescent="0.15">
      <c r="I63" s="76"/>
      <c r="K63" s="58"/>
      <c r="N63" s="58"/>
    </row>
    <row r="64" spans="9:14" x14ac:dyDescent="0.15">
      <c r="I64" s="76"/>
      <c r="J64"/>
      <c r="K64" s="58"/>
      <c r="N64" s="58"/>
    </row>
    <row r="65" spans="9:14" x14ac:dyDescent="0.15">
      <c r="I65" s="76"/>
      <c r="J65"/>
      <c r="K65" s="58"/>
      <c r="N65" s="58"/>
    </row>
    <row r="66" spans="9:14" x14ac:dyDescent="0.15">
      <c r="I66" s="76"/>
      <c r="J66"/>
      <c r="K66" s="58"/>
      <c r="N66" s="58"/>
    </row>
    <row r="67" spans="9:14" x14ac:dyDescent="0.15">
      <c r="I67" s="76"/>
      <c r="J67"/>
      <c r="K67" s="58"/>
      <c r="N67" s="58"/>
    </row>
    <row r="68" spans="9:14" x14ac:dyDescent="0.15">
      <c r="I68" s="76"/>
      <c r="J68"/>
      <c r="K68" s="58"/>
      <c r="N68" s="58"/>
    </row>
    <row r="69" spans="9:14" x14ac:dyDescent="0.15">
      <c r="I69" s="76"/>
      <c r="J69"/>
      <c r="K69" s="58"/>
      <c r="N69" s="58"/>
    </row>
    <row r="70" spans="9:14" x14ac:dyDescent="0.15">
      <c r="I70" s="77"/>
      <c r="J70"/>
      <c r="K70" s="58"/>
    </row>
    <row r="71" spans="9:14" x14ac:dyDescent="0.15">
      <c r="I71" s="77"/>
      <c r="J71"/>
      <c r="K71" s="58"/>
    </row>
    <row r="72" spans="9:14" x14ac:dyDescent="0.15">
      <c r="I72" s="76"/>
      <c r="J72"/>
      <c r="K72" s="58"/>
    </row>
    <row r="73" spans="9:14" x14ac:dyDescent="0.15">
      <c r="I73" s="76"/>
      <c r="J73"/>
      <c r="K73" s="58"/>
    </row>
    <row r="74" spans="9:14" x14ac:dyDescent="0.15">
      <c r="I74" s="76"/>
      <c r="K74" s="58"/>
    </row>
    <row r="75" spans="9:14" x14ac:dyDescent="0.15">
      <c r="I75" s="76"/>
      <c r="K75" s="58"/>
    </row>
    <row r="76" spans="9:14" x14ac:dyDescent="0.15">
      <c r="I76" s="76"/>
      <c r="K76" s="58"/>
    </row>
    <row r="77" spans="9:14" x14ac:dyDescent="0.15">
      <c r="I77" s="76"/>
      <c r="K77" s="58"/>
    </row>
    <row r="78" spans="9:14" x14ac:dyDescent="0.15">
      <c r="I78" s="76"/>
    </row>
    <row r="79" spans="9:14" x14ac:dyDescent="0.15">
      <c r="I79" s="76"/>
    </row>
    <row r="80" spans="9:14" x14ac:dyDescent="0.15">
      <c r="I80" s="76"/>
    </row>
    <row r="81" spans="9:9" x14ac:dyDescent="0.15">
      <c r="I81" s="76"/>
    </row>
    <row r="82" spans="9:9" x14ac:dyDescent="0.15">
      <c r="I82" s="76"/>
    </row>
    <row r="83" spans="9:9" x14ac:dyDescent="0.15">
      <c r="I83" s="76"/>
    </row>
    <row r="84" spans="9:9" x14ac:dyDescent="0.15">
      <c r="I84" s="76"/>
    </row>
    <row r="85" spans="9:9" x14ac:dyDescent="0.15">
      <c r="I85" s="76"/>
    </row>
    <row r="86" spans="9:9" x14ac:dyDescent="0.15">
      <c r="I86" s="76"/>
    </row>
    <row r="89" spans="9:9" x14ac:dyDescent="0.15">
      <c r="I89" s="76"/>
    </row>
    <row r="91" spans="9:9" x14ac:dyDescent="0.15">
      <c r="I91" s="76"/>
    </row>
    <row r="92" spans="9:9" x14ac:dyDescent="0.15">
      <c r="I92" s="76"/>
    </row>
    <row r="93" spans="9:9" x14ac:dyDescent="0.15">
      <c r="I93" s="76"/>
    </row>
    <row r="94" spans="9:9" x14ac:dyDescent="0.15">
      <c r="I94" s="76"/>
    </row>
    <row r="95" spans="9:9" x14ac:dyDescent="0.15">
      <c r="I95" s="76"/>
    </row>
    <row r="96" spans="9:9" x14ac:dyDescent="0.15">
      <c r="I96" s="76"/>
    </row>
    <row r="97" spans="9:9" x14ac:dyDescent="0.15">
      <c r="I97" s="76"/>
    </row>
    <row r="98" spans="9:9" x14ac:dyDescent="0.15">
      <c r="I98" s="76"/>
    </row>
    <row r="99" spans="9:9" x14ac:dyDescent="0.15">
      <c r="I99" s="76"/>
    </row>
    <row r="101" spans="9:9" x14ac:dyDescent="0.15">
      <c r="I101" s="76"/>
    </row>
    <row r="102" spans="9:9" x14ac:dyDescent="0.15">
      <c r="I102" s="76"/>
    </row>
    <row r="103" spans="9:9" x14ac:dyDescent="0.15">
      <c r="I103" s="76"/>
    </row>
    <row r="104" spans="9:9" x14ac:dyDescent="0.15">
      <c r="I104" s="76"/>
    </row>
    <row r="106" spans="9:9" x14ac:dyDescent="0.15">
      <c r="I106" s="76"/>
    </row>
    <row r="107" spans="9:9" x14ac:dyDescent="0.15">
      <c r="I107" s="76"/>
    </row>
    <row r="108" spans="9:9" x14ac:dyDescent="0.15">
      <c r="I108" s="76"/>
    </row>
    <row r="109" spans="9:9" x14ac:dyDescent="0.15">
      <c r="I109" s="76"/>
    </row>
    <row r="110" spans="9:9" x14ac:dyDescent="0.15">
      <c r="I110" s="76"/>
    </row>
    <row r="111" spans="9:9" x14ac:dyDescent="0.15">
      <c r="I111" s="76"/>
    </row>
    <row r="112" spans="9:9" x14ac:dyDescent="0.15">
      <c r="I112" s="76"/>
    </row>
    <row r="113" spans="9:9" x14ac:dyDescent="0.15">
      <c r="I113" s="76"/>
    </row>
    <row r="114" spans="9:9" x14ac:dyDescent="0.15">
      <c r="I114" s="76"/>
    </row>
    <row r="115" spans="9:9" x14ac:dyDescent="0.15">
      <c r="I115" s="76"/>
    </row>
    <row r="117" spans="9:9" x14ac:dyDescent="0.15">
      <c r="I117" s="76"/>
    </row>
    <row r="118" spans="9:9" x14ac:dyDescent="0.15">
      <c r="I118" s="76"/>
    </row>
    <row r="119" spans="9:9" x14ac:dyDescent="0.15">
      <c r="I119" s="76"/>
    </row>
    <row r="120" spans="9:9" x14ac:dyDescent="0.15">
      <c r="I120" s="76"/>
    </row>
    <row r="121" spans="9:9" x14ac:dyDescent="0.15">
      <c r="I121" s="76"/>
    </row>
    <row r="122" spans="9:9" x14ac:dyDescent="0.15">
      <c r="I122" s="76"/>
    </row>
    <row r="123" spans="9:9" x14ac:dyDescent="0.15">
      <c r="I123" s="76"/>
    </row>
    <row r="124" spans="9:9" x14ac:dyDescent="0.15">
      <c r="I124" s="76"/>
    </row>
    <row r="127" spans="9:9" x14ac:dyDescent="0.15">
      <c r="I127" s="76"/>
    </row>
    <row r="128" spans="9:9" x14ac:dyDescent="0.15">
      <c r="I128" s="76"/>
    </row>
    <row r="133" spans="9:9" x14ac:dyDescent="0.15">
      <c r="I133" s="76"/>
    </row>
    <row r="134" spans="9:9" x14ac:dyDescent="0.15">
      <c r="I134" s="76"/>
    </row>
    <row r="135" spans="9:9" x14ac:dyDescent="0.15">
      <c r="I135" s="76"/>
    </row>
    <row r="136" spans="9:9" x14ac:dyDescent="0.15">
      <c r="I136" s="76"/>
    </row>
    <row r="137" spans="9:9" x14ac:dyDescent="0.15">
      <c r="I137" s="76"/>
    </row>
    <row r="155" spans="9:9" x14ac:dyDescent="0.15">
      <c r="I155" s="76"/>
    </row>
    <row r="156" spans="9:9" x14ac:dyDescent="0.15">
      <c r="I156" s="76"/>
    </row>
    <row r="157" spans="9:9" x14ac:dyDescent="0.15">
      <c r="I157" s="76"/>
    </row>
    <row r="158" spans="9:9" x14ac:dyDescent="0.15">
      <c r="I158" s="76"/>
    </row>
    <row r="159" spans="9:9" x14ac:dyDescent="0.15">
      <c r="I159" s="76"/>
    </row>
    <row r="160" spans="9:9" x14ac:dyDescent="0.15">
      <c r="I160" s="76"/>
    </row>
    <row r="182" spans="1:1" x14ac:dyDescent="0.15">
      <c r="A182" t="s">
        <v>20</v>
      </c>
    </row>
    <row r="703" spans="7:8" ht="14.25" x14ac:dyDescent="0.15">
      <c r="G703" s="71">
        <f>SUBTOTAL(9,G13:G702)</f>
        <v>0</v>
      </c>
      <c r="H703" s="3">
        <f>SUBTOTAL(9,H13:H702)</f>
        <v>1238000</v>
      </c>
    </row>
  </sheetData>
  <autoFilter ref="B12:I702" xr:uid="{00000000-0009-0000-0000-000001000000}"/>
  <phoneticPr fontId="2" type="noConversion"/>
  <dataValidations count="2">
    <dataValidation type="list" allowBlank="1" showInputMessage="1" sqref="D7" xr:uid="{00000000-0002-0000-0100-000000000000}">
      <formula1>업체명</formula1>
    </dataValidation>
    <dataValidation type="list" allowBlank="1" showInputMessage="1" sqref="E7" xr:uid="{00000000-0002-0000-0100-000001000000}">
      <formula1>모델명</formula1>
    </dataValidation>
  </dataValidations>
  <pageMargins left="0.74803149606299213" right="0.74803149606299213" top="0.39370078740157483" bottom="0.39370078740157483" header="0.51181102362204722" footer="0.51181102362204722"/>
  <pageSetup paperSize="9" scale="25" orientation="portrait" r:id="rId1"/>
  <headerFooter alignWithMargins="0"/>
  <cellWatches>
    <cellWatch r="D7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100-000002000000}">
          <x14:formula1>
            <xm:f>유형!$A$2:$A$4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F77A9-ED0A-4F0F-AB40-5E63174863E8}">
  <sheetPr codeName="Sheet1">
    <tabColor rgb="FFFFFF00"/>
  </sheetPr>
  <dimension ref="A1:B21"/>
  <sheetViews>
    <sheetView workbookViewId="0">
      <selection activeCell="D19" sqref="D19"/>
    </sheetView>
  </sheetViews>
  <sheetFormatPr defaultRowHeight="13.5" x14ac:dyDescent="0.15"/>
  <cols>
    <col min="4" max="4" width="14.6640625" customWidth="1"/>
  </cols>
  <sheetData>
    <row r="1" spans="1:2" x14ac:dyDescent="0.15">
      <c r="A1" s="17" t="s">
        <v>19</v>
      </c>
      <c r="B1" s="63" t="s">
        <v>38</v>
      </c>
    </row>
    <row r="2" spans="1:2" x14ac:dyDescent="0.15">
      <c r="A2" s="64" t="s">
        <v>24</v>
      </c>
      <c r="B2" s="63"/>
    </row>
    <row r="3" spans="1:2" x14ac:dyDescent="0.15">
      <c r="A3" s="20" t="s">
        <v>26</v>
      </c>
      <c r="B3" s="63"/>
    </row>
    <row r="4" spans="1:2" x14ac:dyDescent="0.15">
      <c r="A4" s="20" t="s">
        <v>28</v>
      </c>
      <c r="B4" s="63"/>
    </row>
    <row r="5" spans="1:2" x14ac:dyDescent="0.15">
      <c r="A5" s="20" t="s">
        <v>30</v>
      </c>
      <c r="B5" s="63"/>
    </row>
    <row r="6" spans="1:2" x14ac:dyDescent="0.15">
      <c r="A6" s="20" t="s">
        <v>31</v>
      </c>
      <c r="B6" s="63"/>
    </row>
    <row r="7" spans="1:2" x14ac:dyDescent="0.15">
      <c r="A7" s="63" t="s">
        <v>45</v>
      </c>
      <c r="B7" s="63"/>
    </row>
    <row r="8" spans="1:2" x14ac:dyDescent="0.15">
      <c r="A8" s="20" t="s">
        <v>50</v>
      </c>
      <c r="B8" s="63"/>
    </row>
    <row r="9" spans="1:2" x14ac:dyDescent="0.15">
      <c r="A9" s="63" t="s">
        <v>49</v>
      </c>
      <c r="B9" s="63"/>
    </row>
    <row r="10" spans="1:2" x14ac:dyDescent="0.15">
      <c r="A10" s="1" t="s">
        <v>56</v>
      </c>
      <c r="B10" s="74"/>
    </row>
    <row r="11" spans="1:2" x14ac:dyDescent="0.15">
      <c r="A11" s="1" t="s">
        <v>55</v>
      </c>
      <c r="B11" s="74"/>
    </row>
    <row r="12" spans="1:2" x14ac:dyDescent="0.15">
      <c r="A12" s="20" t="s">
        <v>52</v>
      </c>
      <c r="B12" s="74"/>
    </row>
    <row r="13" spans="1:2" x14ac:dyDescent="0.15">
      <c r="A13" s="1" t="s">
        <v>98</v>
      </c>
      <c r="B13" s="74"/>
    </row>
    <row r="14" spans="1:2" x14ac:dyDescent="0.15">
      <c r="A14" s="1" t="s">
        <v>58</v>
      </c>
      <c r="B14" s="74"/>
    </row>
    <row r="15" spans="1:2" x14ac:dyDescent="0.15">
      <c r="A15" s="1" t="s">
        <v>60</v>
      </c>
      <c r="B15" s="74"/>
    </row>
    <row r="16" spans="1:2" x14ac:dyDescent="0.15">
      <c r="A16" s="20" t="s">
        <v>80</v>
      </c>
      <c r="B16" s="74"/>
    </row>
    <row r="17" spans="1:2" x14ac:dyDescent="0.15">
      <c r="A17" s="20" t="s">
        <v>81</v>
      </c>
      <c r="B17" s="74"/>
    </row>
    <row r="18" spans="1:2" x14ac:dyDescent="0.15">
      <c r="A18" s="16" t="s">
        <v>91</v>
      </c>
      <c r="B18" s="74"/>
    </row>
    <row r="19" spans="1:2" x14ac:dyDescent="0.15">
      <c r="A19" s="16" t="s">
        <v>84</v>
      </c>
      <c r="B19" s="74"/>
    </row>
    <row r="20" spans="1:2" x14ac:dyDescent="0.15">
      <c r="A20" s="1" t="s">
        <v>64</v>
      </c>
      <c r="B20" s="74"/>
    </row>
    <row r="21" spans="1:2" x14ac:dyDescent="0.15">
      <c r="A21" s="1" t="s">
        <v>67</v>
      </c>
      <c r="B21" s="74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1" tint="0.34998626667073579"/>
  </sheetPr>
  <dimension ref="A1:C204"/>
  <sheetViews>
    <sheetView zoomScale="85" zoomScaleNormal="85" workbookViewId="0">
      <pane xSplit="1" topLeftCell="B1" activePane="topRight" state="frozen"/>
      <selection activeCell="Q56" sqref="Q56:V56"/>
      <selection pane="topRight" activeCell="G25" sqref="G25"/>
    </sheetView>
  </sheetViews>
  <sheetFormatPr defaultColWidth="8.88671875" defaultRowHeight="12" x14ac:dyDescent="0.15"/>
  <cols>
    <col min="1" max="1" width="8.88671875" style="18"/>
    <col min="2" max="2" width="1" style="16" customWidth="1"/>
    <col min="3" max="3" width="27.33203125" style="16" customWidth="1"/>
    <col min="4" max="16384" width="8.88671875" style="16"/>
  </cols>
  <sheetData>
    <row r="1" spans="1:3" s="18" customFormat="1" ht="15" customHeight="1" x14ac:dyDescent="0.15">
      <c r="A1" s="17" t="s">
        <v>3</v>
      </c>
      <c r="C1" s="17" t="s">
        <v>19</v>
      </c>
    </row>
    <row r="2" spans="1:3" ht="15" customHeight="1" x14ac:dyDescent="0.15">
      <c r="A2" s="17" t="s">
        <v>22</v>
      </c>
      <c r="B2" s="19"/>
      <c r="C2" s="64" t="s">
        <v>24</v>
      </c>
    </row>
    <row r="3" spans="1:3" ht="15" customHeight="1" x14ac:dyDescent="0.15">
      <c r="A3" s="21"/>
      <c r="B3" s="22"/>
      <c r="C3" s="20" t="s">
        <v>26</v>
      </c>
    </row>
    <row r="4" spans="1:3" ht="15" customHeight="1" x14ac:dyDescent="0.15">
      <c r="A4" s="21"/>
      <c r="B4" s="22"/>
      <c r="C4" s="20" t="s">
        <v>28</v>
      </c>
    </row>
    <row r="5" spans="1:3" ht="15" customHeight="1" x14ac:dyDescent="0.15">
      <c r="A5" s="21"/>
      <c r="B5" s="22"/>
      <c r="C5" s="20" t="s">
        <v>30</v>
      </c>
    </row>
    <row r="6" spans="1:3" ht="15" customHeight="1" x14ac:dyDescent="0.15">
      <c r="A6" s="21"/>
      <c r="B6" s="22"/>
      <c r="C6" s="20" t="s">
        <v>31</v>
      </c>
    </row>
    <row r="7" spans="1:3" ht="15" customHeight="1" x14ac:dyDescent="0.15">
      <c r="A7" s="21"/>
      <c r="B7" s="22"/>
      <c r="C7" s="63" t="s">
        <v>45</v>
      </c>
    </row>
    <row r="8" spans="1:3" ht="15" customHeight="1" x14ac:dyDescent="0.15">
      <c r="A8" s="21"/>
      <c r="B8" s="22"/>
      <c r="C8" s="20" t="s">
        <v>50</v>
      </c>
    </row>
    <row r="9" spans="1:3" ht="15" customHeight="1" x14ac:dyDescent="0.15">
      <c r="A9" s="21"/>
      <c r="B9" s="23"/>
      <c r="C9" s="63" t="s">
        <v>49</v>
      </c>
    </row>
    <row r="10" spans="1:3" ht="15" customHeight="1" x14ac:dyDescent="0.15">
      <c r="A10" s="21"/>
      <c r="B10" s="24"/>
      <c r="C10" s="1" t="s">
        <v>56</v>
      </c>
    </row>
    <row r="11" spans="1:3" ht="15" customHeight="1" x14ac:dyDescent="0.15">
      <c r="A11" s="21"/>
      <c r="B11" s="24"/>
      <c r="C11" s="1" t="s">
        <v>55</v>
      </c>
    </row>
    <row r="12" spans="1:3" ht="15" customHeight="1" x14ac:dyDescent="0.15">
      <c r="A12" s="21"/>
      <c r="B12" s="24"/>
      <c r="C12" s="20" t="s">
        <v>52</v>
      </c>
    </row>
    <row r="13" spans="1:3" ht="15" customHeight="1" x14ac:dyDescent="0.15">
      <c r="A13" s="21"/>
      <c r="B13" s="24"/>
      <c r="C13" s="1" t="s">
        <v>54</v>
      </c>
    </row>
    <row r="14" spans="1:3" ht="15" customHeight="1" x14ac:dyDescent="0.15">
      <c r="A14" s="17"/>
      <c r="B14" s="24"/>
      <c r="C14" s="1" t="s">
        <v>58</v>
      </c>
    </row>
    <row r="15" spans="1:3" ht="15" customHeight="1" x14ac:dyDescent="0.15">
      <c r="A15" s="21"/>
      <c r="B15" s="24"/>
      <c r="C15" s="1" t="s">
        <v>60</v>
      </c>
    </row>
    <row r="16" spans="1:3" ht="15" customHeight="1" x14ac:dyDescent="0.15">
      <c r="A16" s="21"/>
      <c r="B16" s="24"/>
      <c r="C16" s="20" t="s">
        <v>80</v>
      </c>
    </row>
    <row r="17" spans="1:3" ht="15" customHeight="1" x14ac:dyDescent="0.15">
      <c r="A17" s="21"/>
      <c r="C17" s="20" t="s">
        <v>81</v>
      </c>
    </row>
    <row r="18" spans="1:3" ht="15" customHeight="1" x14ac:dyDescent="0.15">
      <c r="A18" s="21"/>
      <c r="C18" s="16" t="s">
        <v>91</v>
      </c>
    </row>
    <row r="19" spans="1:3" ht="15" customHeight="1" x14ac:dyDescent="0.15">
      <c r="A19" s="21"/>
      <c r="B19" s="24"/>
      <c r="C19" s="16" t="s">
        <v>84</v>
      </c>
    </row>
    <row r="20" spans="1:3" ht="15" customHeight="1" x14ac:dyDescent="0.15">
      <c r="A20" s="17"/>
      <c r="C20" s="1" t="s">
        <v>64</v>
      </c>
    </row>
    <row r="21" spans="1:3" ht="15" customHeight="1" x14ac:dyDescent="0.15">
      <c r="A21" s="17"/>
      <c r="C21" s="1" t="s">
        <v>67</v>
      </c>
    </row>
    <row r="22" spans="1:3" ht="15" customHeight="1" x14ac:dyDescent="0.15">
      <c r="A22" s="17"/>
      <c r="B22" s="24"/>
      <c r="C22" s="20"/>
    </row>
    <row r="23" spans="1:3" ht="15" customHeight="1" x14ac:dyDescent="0.15">
      <c r="A23" s="17"/>
      <c r="B23" s="24"/>
      <c r="C23" s="20"/>
    </row>
    <row r="24" spans="1:3" ht="15" customHeight="1" x14ac:dyDescent="0.15">
      <c r="A24" s="17"/>
      <c r="B24" s="24"/>
      <c r="C24" s="20"/>
    </row>
    <row r="25" spans="1:3" ht="15" customHeight="1" x14ac:dyDescent="0.15">
      <c r="A25" s="17"/>
      <c r="B25" s="24"/>
      <c r="C25" s="20"/>
    </row>
    <row r="26" spans="1:3" ht="15" customHeight="1" x14ac:dyDescent="0.15">
      <c r="A26" s="17"/>
      <c r="B26" s="24"/>
      <c r="C26" s="20"/>
    </row>
    <row r="27" spans="1:3" ht="15" customHeight="1" x14ac:dyDescent="0.15">
      <c r="A27" s="17"/>
      <c r="B27" s="24"/>
      <c r="C27" s="20"/>
    </row>
    <row r="28" spans="1:3" ht="15" customHeight="1" x14ac:dyDescent="0.15">
      <c r="A28" s="17"/>
      <c r="B28" s="24"/>
      <c r="C28" s="20"/>
    </row>
    <row r="29" spans="1:3" ht="15" customHeight="1" x14ac:dyDescent="0.15">
      <c r="A29" s="17"/>
      <c r="B29" s="24"/>
      <c r="C29" s="20"/>
    </row>
    <row r="30" spans="1:3" ht="15" customHeight="1" x14ac:dyDescent="0.15">
      <c r="A30" s="17"/>
      <c r="B30" s="24"/>
      <c r="C30" s="20"/>
    </row>
    <row r="31" spans="1:3" ht="15" customHeight="1" x14ac:dyDescent="0.15">
      <c r="A31" s="17"/>
      <c r="B31" s="24"/>
      <c r="C31" s="20"/>
    </row>
    <row r="32" spans="1:3" ht="15" customHeight="1" x14ac:dyDescent="0.15">
      <c r="A32" s="17"/>
      <c r="C32" s="26"/>
    </row>
    <row r="33" spans="1:3" ht="15" customHeight="1" x14ac:dyDescent="0.15">
      <c r="A33" s="17"/>
      <c r="C33" s="26"/>
    </row>
    <row r="34" spans="1:3" ht="15" customHeight="1" x14ac:dyDescent="0.15">
      <c r="A34" s="17"/>
      <c r="C34" s="26"/>
    </row>
    <row r="35" spans="1:3" x14ac:dyDescent="0.15">
      <c r="A35" s="17"/>
      <c r="C35" s="20"/>
    </row>
    <row r="36" spans="1:3" x14ac:dyDescent="0.15">
      <c r="A36" s="17"/>
    </row>
    <row r="37" spans="1:3" x14ac:dyDescent="0.15">
      <c r="A37" s="17"/>
    </row>
    <row r="38" spans="1:3" x14ac:dyDescent="0.15">
      <c r="A38" s="17"/>
    </row>
    <row r="39" spans="1:3" x14ac:dyDescent="0.15">
      <c r="A39" s="17"/>
    </row>
    <row r="40" spans="1:3" x14ac:dyDescent="0.15">
      <c r="A40" s="17"/>
    </row>
    <row r="41" spans="1:3" x14ac:dyDescent="0.15">
      <c r="A41" s="17"/>
    </row>
    <row r="42" spans="1:3" x14ac:dyDescent="0.15">
      <c r="A42" s="17"/>
    </row>
    <row r="43" spans="1:3" x14ac:dyDescent="0.15">
      <c r="A43" s="17"/>
    </row>
    <row r="44" spans="1:3" x14ac:dyDescent="0.15">
      <c r="A44" s="17"/>
    </row>
    <row r="45" spans="1:3" x14ac:dyDescent="0.15">
      <c r="A45" s="17"/>
    </row>
    <row r="46" spans="1:3" x14ac:dyDescent="0.15">
      <c r="A46" s="17"/>
    </row>
    <row r="47" spans="1:3" x14ac:dyDescent="0.15">
      <c r="A47" s="17"/>
    </row>
    <row r="48" spans="1:3" x14ac:dyDescent="0.15">
      <c r="A48" s="17"/>
    </row>
    <row r="49" spans="1:1" x14ac:dyDescent="0.15">
      <c r="A49" s="17"/>
    </row>
    <row r="50" spans="1:1" x14ac:dyDescent="0.15">
      <c r="A50" s="17"/>
    </row>
    <row r="51" spans="1:1" x14ac:dyDescent="0.15">
      <c r="A51" s="17"/>
    </row>
    <row r="52" spans="1:1" x14ac:dyDescent="0.15">
      <c r="A52" s="17"/>
    </row>
    <row r="53" spans="1:1" x14ac:dyDescent="0.15">
      <c r="A53" s="17"/>
    </row>
    <row r="54" spans="1:1" x14ac:dyDescent="0.15">
      <c r="A54" s="17"/>
    </row>
    <row r="55" spans="1:1" x14ac:dyDescent="0.15">
      <c r="A55" s="17"/>
    </row>
    <row r="56" spans="1:1" x14ac:dyDescent="0.15">
      <c r="A56" s="17"/>
    </row>
    <row r="57" spans="1:1" x14ac:dyDescent="0.15">
      <c r="A57" s="17"/>
    </row>
    <row r="58" spans="1:1" x14ac:dyDescent="0.15">
      <c r="A58" s="17"/>
    </row>
    <row r="59" spans="1:1" x14ac:dyDescent="0.15">
      <c r="A59" s="17"/>
    </row>
    <row r="60" spans="1:1" x14ac:dyDescent="0.15">
      <c r="A60" s="17"/>
    </row>
    <row r="61" spans="1:1" x14ac:dyDescent="0.15">
      <c r="A61" s="17"/>
    </row>
    <row r="62" spans="1:1" x14ac:dyDescent="0.15">
      <c r="A62" s="17"/>
    </row>
    <row r="63" spans="1:1" x14ac:dyDescent="0.15">
      <c r="A63" s="17"/>
    </row>
    <row r="64" spans="1:1" x14ac:dyDescent="0.15">
      <c r="A64" s="17"/>
    </row>
    <row r="65" spans="1:1" x14ac:dyDescent="0.15">
      <c r="A65" s="17"/>
    </row>
    <row r="66" spans="1:1" x14ac:dyDescent="0.15">
      <c r="A66" s="17"/>
    </row>
    <row r="67" spans="1:1" x14ac:dyDescent="0.15">
      <c r="A67" s="17"/>
    </row>
    <row r="68" spans="1:1" x14ac:dyDescent="0.15">
      <c r="A68" s="17"/>
    </row>
    <row r="69" spans="1:1" x14ac:dyDescent="0.15">
      <c r="A69" s="17"/>
    </row>
    <row r="70" spans="1:1" x14ac:dyDescent="0.15">
      <c r="A70" s="17"/>
    </row>
    <row r="71" spans="1:1" x14ac:dyDescent="0.15">
      <c r="A71" s="17"/>
    </row>
    <row r="72" spans="1:1" x14ac:dyDescent="0.15">
      <c r="A72" s="17"/>
    </row>
    <row r="73" spans="1:1" x14ac:dyDescent="0.15">
      <c r="A73" s="17"/>
    </row>
    <row r="74" spans="1:1" x14ac:dyDescent="0.15">
      <c r="A74" s="17"/>
    </row>
    <row r="75" spans="1:1" x14ac:dyDescent="0.15">
      <c r="A75" s="17"/>
    </row>
    <row r="76" spans="1:1" x14ac:dyDescent="0.15">
      <c r="A76" s="17"/>
    </row>
    <row r="77" spans="1:1" x14ac:dyDescent="0.15">
      <c r="A77" s="17"/>
    </row>
    <row r="78" spans="1:1" x14ac:dyDescent="0.15">
      <c r="A78" s="17"/>
    </row>
    <row r="79" spans="1:1" x14ac:dyDescent="0.15">
      <c r="A79" s="17"/>
    </row>
    <row r="80" spans="1:1" x14ac:dyDescent="0.15">
      <c r="A80" s="17"/>
    </row>
    <row r="81" spans="1:1" x14ac:dyDescent="0.15">
      <c r="A81" s="17"/>
    </row>
    <row r="82" spans="1:1" x14ac:dyDescent="0.15">
      <c r="A82" s="17"/>
    </row>
    <row r="83" spans="1:1" x14ac:dyDescent="0.15">
      <c r="A83" s="17"/>
    </row>
    <row r="84" spans="1:1" x14ac:dyDescent="0.15">
      <c r="A84" s="17"/>
    </row>
    <row r="85" spans="1:1" x14ac:dyDescent="0.15">
      <c r="A85" s="17"/>
    </row>
    <row r="86" spans="1:1" x14ac:dyDescent="0.15">
      <c r="A86" s="17"/>
    </row>
    <row r="87" spans="1:1" x14ac:dyDescent="0.15">
      <c r="A87" s="17"/>
    </row>
    <row r="88" spans="1:1" x14ac:dyDescent="0.15">
      <c r="A88" s="17"/>
    </row>
    <row r="89" spans="1:1" x14ac:dyDescent="0.15">
      <c r="A89" s="17"/>
    </row>
    <row r="90" spans="1:1" x14ac:dyDescent="0.15">
      <c r="A90" s="17"/>
    </row>
    <row r="91" spans="1:1" x14ac:dyDescent="0.15">
      <c r="A91" s="17"/>
    </row>
    <row r="92" spans="1:1" x14ac:dyDescent="0.15">
      <c r="A92" s="17"/>
    </row>
    <row r="93" spans="1:1" x14ac:dyDescent="0.15">
      <c r="A93" s="17"/>
    </row>
    <row r="94" spans="1:1" x14ac:dyDescent="0.15">
      <c r="A94" s="17"/>
    </row>
    <row r="95" spans="1:1" x14ac:dyDescent="0.15">
      <c r="A95" s="17"/>
    </row>
    <row r="96" spans="1:1" x14ac:dyDescent="0.15">
      <c r="A96" s="17"/>
    </row>
    <row r="97" spans="1:1" x14ac:dyDescent="0.15">
      <c r="A97" s="17"/>
    </row>
    <row r="98" spans="1:1" x14ac:dyDescent="0.15">
      <c r="A98" s="17"/>
    </row>
    <row r="99" spans="1:1" x14ac:dyDescent="0.15">
      <c r="A99" s="17"/>
    </row>
    <row r="100" spans="1:1" x14ac:dyDescent="0.15">
      <c r="A100" s="17"/>
    </row>
    <row r="101" spans="1:1" x14ac:dyDescent="0.15">
      <c r="A101" s="17"/>
    </row>
    <row r="102" spans="1:1" x14ac:dyDescent="0.15">
      <c r="A102" s="17"/>
    </row>
    <row r="103" spans="1:1" x14ac:dyDescent="0.15">
      <c r="A103" s="17"/>
    </row>
    <row r="104" spans="1:1" x14ac:dyDescent="0.15">
      <c r="A104" s="17"/>
    </row>
    <row r="105" spans="1:1" x14ac:dyDescent="0.15">
      <c r="A105" s="17"/>
    </row>
    <row r="106" spans="1:1" x14ac:dyDescent="0.15">
      <c r="A106" s="17"/>
    </row>
    <row r="107" spans="1:1" x14ac:dyDescent="0.15">
      <c r="A107" s="17"/>
    </row>
    <row r="108" spans="1:1" x14ac:dyDescent="0.15">
      <c r="A108" s="17"/>
    </row>
    <row r="109" spans="1:1" x14ac:dyDescent="0.15">
      <c r="A109" s="17"/>
    </row>
    <row r="110" spans="1:1" x14ac:dyDescent="0.15">
      <c r="A110" s="17"/>
    </row>
    <row r="111" spans="1:1" x14ac:dyDescent="0.15">
      <c r="A111" s="17"/>
    </row>
    <row r="112" spans="1:1" x14ac:dyDescent="0.15">
      <c r="A112" s="17"/>
    </row>
    <row r="113" spans="1:1" x14ac:dyDescent="0.15">
      <c r="A113" s="17"/>
    </row>
    <row r="114" spans="1:1" x14ac:dyDescent="0.15">
      <c r="A114" s="17"/>
    </row>
    <row r="115" spans="1:1" x14ac:dyDescent="0.15">
      <c r="A115" s="17"/>
    </row>
    <row r="116" spans="1:1" x14ac:dyDescent="0.15">
      <c r="A116" s="17"/>
    </row>
    <row r="117" spans="1:1" x14ac:dyDescent="0.15">
      <c r="A117" s="17"/>
    </row>
    <row r="118" spans="1:1" x14ac:dyDescent="0.15">
      <c r="A118" s="17"/>
    </row>
    <row r="119" spans="1:1" x14ac:dyDescent="0.15">
      <c r="A119" s="17"/>
    </row>
    <row r="120" spans="1:1" x14ac:dyDescent="0.15">
      <c r="A120" s="17"/>
    </row>
    <row r="121" spans="1:1" x14ac:dyDescent="0.15">
      <c r="A121" s="17"/>
    </row>
    <row r="122" spans="1:1" x14ac:dyDescent="0.15">
      <c r="A122" s="17"/>
    </row>
    <row r="123" spans="1:1" x14ac:dyDescent="0.15">
      <c r="A123" s="17"/>
    </row>
    <row r="124" spans="1:1" x14ac:dyDescent="0.15">
      <c r="A124" s="17"/>
    </row>
    <row r="125" spans="1:1" x14ac:dyDescent="0.15">
      <c r="A125" s="17"/>
    </row>
    <row r="126" spans="1:1" x14ac:dyDescent="0.15">
      <c r="A126" s="17"/>
    </row>
    <row r="127" spans="1:1" x14ac:dyDescent="0.15">
      <c r="A127" s="17"/>
    </row>
    <row r="128" spans="1:1" x14ac:dyDescent="0.15">
      <c r="A128" s="17"/>
    </row>
    <row r="129" spans="1:1" x14ac:dyDescent="0.15">
      <c r="A129" s="17"/>
    </row>
    <row r="130" spans="1:1" x14ac:dyDescent="0.15">
      <c r="A130" s="17"/>
    </row>
    <row r="131" spans="1:1" x14ac:dyDescent="0.15">
      <c r="A131" s="17"/>
    </row>
    <row r="132" spans="1:1" x14ac:dyDescent="0.15">
      <c r="A132" s="25"/>
    </row>
    <row r="133" spans="1:1" x14ac:dyDescent="0.15">
      <c r="A133" s="17"/>
    </row>
    <row r="134" spans="1:1" x14ac:dyDescent="0.15">
      <c r="A134" s="17"/>
    </row>
    <row r="135" spans="1:1" x14ac:dyDescent="0.15">
      <c r="A135" s="17"/>
    </row>
    <row r="136" spans="1:1" x14ac:dyDescent="0.15">
      <c r="A136" s="17"/>
    </row>
    <row r="137" spans="1:1" x14ac:dyDescent="0.15">
      <c r="A137" s="17"/>
    </row>
    <row r="138" spans="1:1" x14ac:dyDescent="0.15">
      <c r="A138" s="17"/>
    </row>
    <row r="139" spans="1:1" x14ac:dyDescent="0.15">
      <c r="A139" s="17"/>
    </row>
    <row r="140" spans="1:1" x14ac:dyDescent="0.15">
      <c r="A140" s="17"/>
    </row>
    <row r="141" spans="1:1" x14ac:dyDescent="0.15">
      <c r="A141" s="17"/>
    </row>
    <row r="142" spans="1:1" x14ac:dyDescent="0.15">
      <c r="A142" s="17"/>
    </row>
    <row r="143" spans="1:1" x14ac:dyDescent="0.15">
      <c r="A143" s="17"/>
    </row>
    <row r="144" spans="1:1" x14ac:dyDescent="0.15">
      <c r="A144" s="17"/>
    </row>
    <row r="145" spans="1:1" x14ac:dyDescent="0.15">
      <c r="A145" s="17"/>
    </row>
    <row r="146" spans="1:1" x14ac:dyDescent="0.15">
      <c r="A146" s="17"/>
    </row>
    <row r="147" spans="1:1" x14ac:dyDescent="0.15">
      <c r="A147" s="17"/>
    </row>
    <row r="148" spans="1:1" x14ac:dyDescent="0.15">
      <c r="A148" s="17"/>
    </row>
    <row r="149" spans="1:1" x14ac:dyDescent="0.15">
      <c r="A149" s="17"/>
    </row>
    <row r="150" spans="1:1" x14ac:dyDescent="0.15">
      <c r="A150" s="17"/>
    </row>
    <row r="151" spans="1:1" x14ac:dyDescent="0.15">
      <c r="A151" s="17"/>
    </row>
    <row r="152" spans="1:1" x14ac:dyDescent="0.15">
      <c r="A152" s="17"/>
    </row>
    <row r="153" spans="1:1" x14ac:dyDescent="0.15">
      <c r="A153" s="17"/>
    </row>
    <row r="154" spans="1:1" x14ac:dyDescent="0.15">
      <c r="A154" s="17"/>
    </row>
    <row r="155" spans="1:1" x14ac:dyDescent="0.15">
      <c r="A155" s="25"/>
    </row>
    <row r="156" spans="1:1" x14ac:dyDescent="0.15">
      <c r="A156" s="17"/>
    </row>
    <row r="157" spans="1:1" x14ac:dyDescent="0.15">
      <c r="A157" s="17"/>
    </row>
    <row r="158" spans="1:1" x14ac:dyDescent="0.15">
      <c r="A158" s="17"/>
    </row>
    <row r="159" spans="1:1" x14ac:dyDescent="0.15">
      <c r="A159" s="17"/>
    </row>
    <row r="160" spans="1:1" x14ac:dyDescent="0.15">
      <c r="A160" s="17"/>
    </row>
    <row r="161" spans="1:1" x14ac:dyDescent="0.15">
      <c r="A161" s="17"/>
    </row>
    <row r="162" spans="1:1" x14ac:dyDescent="0.15">
      <c r="A162" s="17"/>
    </row>
    <row r="163" spans="1:1" x14ac:dyDescent="0.15">
      <c r="A163" s="17"/>
    </row>
    <row r="164" spans="1:1" x14ac:dyDescent="0.15">
      <c r="A164" s="17"/>
    </row>
    <row r="165" spans="1:1" x14ac:dyDescent="0.15">
      <c r="A165" s="17"/>
    </row>
    <row r="166" spans="1:1" x14ac:dyDescent="0.15">
      <c r="A166" s="17"/>
    </row>
    <row r="167" spans="1:1" x14ac:dyDescent="0.15">
      <c r="A167" s="17"/>
    </row>
    <row r="168" spans="1:1" x14ac:dyDescent="0.15">
      <c r="A168" s="17"/>
    </row>
    <row r="169" spans="1:1" x14ac:dyDescent="0.15">
      <c r="A169" s="17"/>
    </row>
    <row r="170" spans="1:1" x14ac:dyDescent="0.15">
      <c r="A170" s="17"/>
    </row>
    <row r="171" spans="1:1" x14ac:dyDescent="0.15">
      <c r="A171" s="17"/>
    </row>
    <row r="172" spans="1:1" x14ac:dyDescent="0.15">
      <c r="A172" s="17"/>
    </row>
    <row r="173" spans="1:1" x14ac:dyDescent="0.15">
      <c r="A173" s="17"/>
    </row>
    <row r="174" spans="1:1" x14ac:dyDescent="0.15">
      <c r="A174" s="17"/>
    </row>
    <row r="175" spans="1:1" x14ac:dyDescent="0.15">
      <c r="A175" s="17"/>
    </row>
    <row r="176" spans="1:1" x14ac:dyDescent="0.15">
      <c r="A176" s="17"/>
    </row>
    <row r="177" spans="1:1" x14ac:dyDescent="0.15">
      <c r="A177" s="17"/>
    </row>
    <row r="178" spans="1:1" x14ac:dyDescent="0.15">
      <c r="A178" s="17"/>
    </row>
    <row r="179" spans="1:1" x14ac:dyDescent="0.15">
      <c r="A179" s="17"/>
    </row>
    <row r="180" spans="1:1" x14ac:dyDescent="0.15">
      <c r="A180" s="17"/>
    </row>
    <row r="181" spans="1:1" x14ac:dyDescent="0.15">
      <c r="A181" s="17"/>
    </row>
    <row r="182" spans="1:1" x14ac:dyDescent="0.15">
      <c r="A182" s="17"/>
    </row>
    <row r="183" spans="1:1" x14ac:dyDescent="0.15">
      <c r="A183" s="17"/>
    </row>
    <row r="184" spans="1:1" x14ac:dyDescent="0.15">
      <c r="A184" s="17"/>
    </row>
    <row r="185" spans="1:1" x14ac:dyDescent="0.15">
      <c r="A185" s="17"/>
    </row>
    <row r="186" spans="1:1" x14ac:dyDescent="0.15">
      <c r="A186" s="17"/>
    </row>
    <row r="187" spans="1:1" x14ac:dyDescent="0.15">
      <c r="A187" s="17"/>
    </row>
    <row r="188" spans="1:1" x14ac:dyDescent="0.15">
      <c r="A188" s="17"/>
    </row>
    <row r="189" spans="1:1" x14ac:dyDescent="0.15">
      <c r="A189" s="17"/>
    </row>
    <row r="190" spans="1:1" x14ac:dyDescent="0.15">
      <c r="A190" s="17"/>
    </row>
    <row r="191" spans="1:1" x14ac:dyDescent="0.15">
      <c r="A191" s="17"/>
    </row>
    <row r="192" spans="1:1" x14ac:dyDescent="0.15">
      <c r="A192" s="17"/>
    </row>
    <row r="193" spans="1:1" x14ac:dyDescent="0.15">
      <c r="A193" s="17"/>
    </row>
    <row r="194" spans="1:1" x14ac:dyDescent="0.15">
      <c r="A194" s="17"/>
    </row>
    <row r="195" spans="1:1" x14ac:dyDescent="0.15">
      <c r="A195" s="17"/>
    </row>
    <row r="196" spans="1:1" x14ac:dyDescent="0.15">
      <c r="A196" s="17"/>
    </row>
    <row r="197" spans="1:1" x14ac:dyDescent="0.15">
      <c r="A197" s="17"/>
    </row>
    <row r="198" spans="1:1" x14ac:dyDescent="0.15">
      <c r="A198" s="17"/>
    </row>
    <row r="199" spans="1:1" x14ac:dyDescent="0.15">
      <c r="A199" s="17"/>
    </row>
    <row r="200" spans="1:1" x14ac:dyDescent="0.15">
      <c r="A200" s="17"/>
    </row>
    <row r="201" spans="1:1" x14ac:dyDescent="0.15">
      <c r="A201" s="17"/>
    </row>
    <row r="202" spans="1:1" x14ac:dyDescent="0.15">
      <c r="A202" s="17"/>
    </row>
    <row r="203" spans="1:1" x14ac:dyDescent="0.15">
      <c r="A203" s="17"/>
    </row>
    <row r="204" spans="1:1" x14ac:dyDescent="0.15">
      <c r="A204" s="17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4">
    <tabColor theme="3" tint="0.39997558519241921"/>
  </sheetPr>
  <dimension ref="A1:AI330"/>
  <sheetViews>
    <sheetView showZeros="0" showRuler="0" zoomScale="110" zoomScaleNormal="110" workbookViewId="0">
      <selection activeCell="R49" sqref="R49"/>
    </sheetView>
  </sheetViews>
  <sheetFormatPr defaultRowHeight="13.5" x14ac:dyDescent="0.15"/>
  <cols>
    <col min="1" max="6" width="2.77734375" customWidth="1"/>
    <col min="7" max="7" width="2.5546875" customWidth="1"/>
    <col min="8" max="9" width="2.77734375" hidden="1" customWidth="1"/>
    <col min="10" max="10" width="3.6640625" hidden="1" customWidth="1"/>
    <col min="11" max="23" width="2.77734375" customWidth="1"/>
    <col min="24" max="24" width="3.77734375" customWidth="1"/>
    <col min="25" max="27" width="2.77734375" customWidth="1"/>
    <col min="31" max="31" width="11" customWidth="1"/>
    <col min="32" max="32" width="15.44140625" customWidth="1"/>
    <col min="33" max="35" width="12" customWidth="1"/>
  </cols>
  <sheetData>
    <row r="1" spans="1:35" ht="15" customHeight="1" x14ac:dyDescent="0.15">
      <c r="A1" s="35"/>
      <c r="B1" s="35"/>
      <c r="C1" s="35"/>
      <c r="D1" s="35"/>
      <c r="E1" s="35"/>
      <c r="F1" s="36"/>
      <c r="G1" s="36"/>
      <c r="H1" s="110" t="s">
        <v>29</v>
      </c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37"/>
      <c r="Z1" s="37"/>
      <c r="AA1" s="37"/>
    </row>
    <row r="2" spans="1:35" ht="15" customHeight="1" x14ac:dyDescent="0.15">
      <c r="A2" s="35"/>
      <c r="B2" s="35"/>
      <c r="C2" s="35"/>
      <c r="D2" s="33"/>
      <c r="E2" s="34"/>
      <c r="F2" s="36"/>
      <c r="G2" s="36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37"/>
      <c r="Z2" s="37"/>
      <c r="AA2" s="37"/>
    </row>
    <row r="3" spans="1:35" s="40" customFormat="1" ht="15" customHeight="1" x14ac:dyDescent="0.15">
      <c r="A3" s="38"/>
      <c r="B3" s="38"/>
      <c r="C3" s="38"/>
      <c r="D3" s="38"/>
      <c r="E3" s="38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1:35" s="40" customFormat="1" ht="15" customHeight="1" thickBot="1" x14ac:dyDescent="0.2">
      <c r="A4" s="41"/>
      <c r="B4" s="41"/>
      <c r="C4" s="41"/>
      <c r="D4" s="41"/>
      <c r="E4" s="41"/>
      <c r="F4" s="41"/>
      <c r="G4" s="42"/>
      <c r="H4" s="42"/>
      <c r="I4" s="42"/>
      <c r="J4" s="42"/>
      <c r="K4" s="41"/>
      <c r="L4" s="41"/>
      <c r="M4" s="41"/>
      <c r="N4" s="41"/>
      <c r="O4" s="41"/>
      <c r="P4" s="41"/>
      <c r="Q4" s="41"/>
      <c r="R4" s="41"/>
      <c r="S4" s="41"/>
      <c r="T4" s="41"/>
      <c r="U4" s="43"/>
      <c r="V4" s="43"/>
      <c r="W4" s="41"/>
      <c r="X4" s="41"/>
      <c r="Y4" s="41"/>
      <c r="Z4" s="41"/>
    </row>
    <row r="5" spans="1:35" s="40" customFormat="1" ht="15" customHeight="1" thickBot="1" x14ac:dyDescent="0.2">
      <c r="A5" s="117"/>
      <c r="B5" s="117"/>
      <c r="C5" s="117"/>
      <c r="D5" s="118" t="s">
        <v>48</v>
      </c>
      <c r="E5" s="116"/>
      <c r="F5" s="116"/>
      <c r="G5" s="119"/>
      <c r="H5" s="115" t="s">
        <v>18</v>
      </c>
      <c r="I5" s="116"/>
      <c r="J5" s="116"/>
      <c r="K5" s="112" t="s">
        <v>13</v>
      </c>
      <c r="L5" s="112"/>
      <c r="M5" s="112"/>
      <c r="N5" s="112"/>
      <c r="O5" s="112"/>
      <c r="P5" s="112"/>
      <c r="Q5" s="112" t="s">
        <v>14</v>
      </c>
      <c r="R5" s="112"/>
      <c r="S5" s="112"/>
      <c r="T5" s="112"/>
      <c r="U5" s="112"/>
      <c r="V5" s="112"/>
      <c r="W5" s="113" t="s">
        <v>12</v>
      </c>
      <c r="X5" s="113"/>
      <c r="Y5" s="113"/>
      <c r="Z5" s="113"/>
      <c r="AA5" s="114"/>
    </row>
    <row r="6" spans="1:35" s="40" customFormat="1" ht="15" customHeight="1" x14ac:dyDescent="0.15">
      <c r="A6" s="117"/>
      <c r="B6" s="117"/>
      <c r="C6" s="117"/>
      <c r="D6" s="94" t="s">
        <v>23</v>
      </c>
      <c r="E6" s="95"/>
      <c r="F6" s="95"/>
      <c r="G6" s="96"/>
      <c r="H6" s="93">
        <f>SUMIFS('입출고 입력'!H$13:H$4998,'입출고 입력'!E$13:E$4998,D6,'입출고 입력'!B$13:B$4998,$H$5)</f>
        <v>0</v>
      </c>
      <c r="I6" s="100"/>
      <c r="J6" s="100"/>
      <c r="K6" s="101">
        <f>SUMIFS('입출고 입력'!H$13:H$4998,'입출고 입력'!E$13:E$4998,D6,'입출고 입력'!B$13:B$4998,$K$5)</f>
        <v>200000</v>
      </c>
      <c r="L6" s="101"/>
      <c r="M6" s="101"/>
      <c r="N6" s="101"/>
      <c r="O6" s="101"/>
      <c r="P6" s="101"/>
      <c r="Q6" s="101">
        <f>SUMIFS('입출고 입력'!H$13:H$4998,'입출고 입력'!E$13:E$4998,D6,'입출고 입력'!B$13:B$4998,$Q$5)</f>
        <v>0</v>
      </c>
      <c r="R6" s="101"/>
      <c r="S6" s="101"/>
      <c r="T6" s="101"/>
      <c r="U6" s="101"/>
      <c r="V6" s="101"/>
      <c r="W6" s="88">
        <f t="shared" ref="W6:W15" si="0">K6-Q6-H6</f>
        <v>200000</v>
      </c>
      <c r="X6" s="89"/>
      <c r="Y6" s="89"/>
      <c r="Z6" s="89"/>
      <c r="AA6" s="90"/>
      <c r="AB6" s="61">
        <f>W6/4500</f>
        <v>44.444444444444443</v>
      </c>
    </row>
    <row r="7" spans="1:35" s="40" customFormat="1" ht="15" customHeight="1" x14ac:dyDescent="0.15">
      <c r="A7" s="117"/>
      <c r="B7" s="117"/>
      <c r="C7" s="117"/>
      <c r="D7" s="94" t="s">
        <v>25</v>
      </c>
      <c r="E7" s="95"/>
      <c r="F7" s="95"/>
      <c r="G7" s="96"/>
      <c r="H7" s="93">
        <f>SUMIFS('입출고 입력'!H$13:H$4998,'입출고 입력'!E$13:E$4998,D7,'입출고 입력'!B$13:B$4998,$H$5)</f>
        <v>0</v>
      </c>
      <c r="I7" s="100"/>
      <c r="J7" s="100"/>
      <c r="K7" s="101">
        <f>SUMIFS('입출고 입력'!H$13:H$4998,'입출고 입력'!E$13:E$4998,D7,'입출고 입력'!B$13:B$4998,$K$5)</f>
        <v>6000</v>
      </c>
      <c r="L7" s="101"/>
      <c r="M7" s="101"/>
      <c r="N7" s="101"/>
      <c r="O7" s="101"/>
      <c r="P7" s="101"/>
      <c r="Q7" s="101">
        <f>SUMIFS('입출고 입력'!H$13:H$4998,'입출고 입력'!E$13:E$4998,D7,'입출고 입력'!B$13:B$4998,$Q$5)</f>
        <v>0</v>
      </c>
      <c r="R7" s="101"/>
      <c r="S7" s="101"/>
      <c r="T7" s="101"/>
      <c r="U7" s="101"/>
      <c r="V7" s="101"/>
      <c r="W7" s="88">
        <f t="shared" si="0"/>
        <v>6000</v>
      </c>
      <c r="X7" s="89"/>
      <c r="Y7" s="89"/>
      <c r="Z7" s="89"/>
      <c r="AA7" s="90"/>
      <c r="AB7" s="61">
        <f t="shared" ref="AB7:AB8" si="1">W7/4500</f>
        <v>1.3333333333333333</v>
      </c>
    </row>
    <row r="8" spans="1:35" s="40" customFormat="1" ht="15" customHeight="1" x14ac:dyDescent="0.15">
      <c r="A8" s="117"/>
      <c r="B8" s="117"/>
      <c r="C8" s="117"/>
      <c r="D8" s="94" t="s">
        <v>27</v>
      </c>
      <c r="E8" s="95"/>
      <c r="F8" s="95"/>
      <c r="G8" s="96"/>
      <c r="H8" s="93">
        <f>SUMIFS('입출고 입력'!H$13:H$4998,'입출고 입력'!E$13:E$4998,D8,'입출고 입력'!B$13:B$4998,$H$5)</f>
        <v>0</v>
      </c>
      <c r="I8" s="100"/>
      <c r="J8" s="100"/>
      <c r="K8" s="101">
        <f>SUMIFS('입출고 입력'!H$13:H$4998,'입출고 입력'!E$13:E$4998,D8,'입출고 입력'!B$13:B$4998,$K$5)</f>
        <v>75000</v>
      </c>
      <c r="L8" s="101"/>
      <c r="M8" s="101"/>
      <c r="N8" s="101"/>
      <c r="O8" s="101"/>
      <c r="P8" s="101"/>
      <c r="Q8" s="101">
        <f>SUMIFS('입출고 입력'!H$13:H$4998,'입출고 입력'!E$13:E$4998,D8,'입출고 입력'!B$13:B$4998,$Q$5)</f>
        <v>0</v>
      </c>
      <c r="R8" s="101"/>
      <c r="S8" s="101"/>
      <c r="T8" s="101"/>
      <c r="U8" s="101"/>
      <c r="V8" s="101"/>
      <c r="W8" s="88">
        <f t="shared" si="0"/>
        <v>75000</v>
      </c>
      <c r="X8" s="89"/>
      <c r="Y8" s="89"/>
      <c r="Z8" s="89"/>
      <c r="AA8" s="90"/>
      <c r="AB8" s="62">
        <f t="shared" si="1"/>
        <v>16.666666666666668</v>
      </c>
    </row>
    <row r="9" spans="1:35" s="40" customFormat="1" ht="15" customHeight="1" x14ac:dyDescent="0.15">
      <c r="A9" s="117"/>
      <c r="B9" s="117"/>
      <c r="C9" s="117"/>
      <c r="D9" s="94" t="s">
        <v>32</v>
      </c>
      <c r="E9" s="95"/>
      <c r="F9" s="95"/>
      <c r="G9" s="96"/>
      <c r="H9" s="93">
        <f>SUMIFS('입출고 입력'!H$13:H$516,'입출고 입력'!E$13:E$516,D9,'입출고 입력'!B$13:B$516,$H$5)</f>
        <v>0</v>
      </c>
      <c r="I9" s="100"/>
      <c r="J9" s="100"/>
      <c r="K9" s="101">
        <f>SUMIFS('입출고 입력'!H$13:H$516,'입출고 입력'!E$13:E$516,D9,'입출고 입력'!B$13:B$516,$K$5)</f>
        <v>145000</v>
      </c>
      <c r="L9" s="101"/>
      <c r="M9" s="101"/>
      <c r="N9" s="101"/>
      <c r="O9" s="101"/>
      <c r="P9" s="101"/>
      <c r="Q9" s="101">
        <f>SUMIFS('입출고 입력'!H$13:H$516,'입출고 입력'!E$13:E$516,D9,'입출고 입력'!B$13:B$516,$Q$5)</f>
        <v>0</v>
      </c>
      <c r="R9" s="101"/>
      <c r="S9" s="101"/>
      <c r="T9" s="101"/>
      <c r="U9" s="101"/>
      <c r="V9" s="101"/>
      <c r="W9" s="88">
        <f t="shared" si="0"/>
        <v>145000</v>
      </c>
      <c r="X9" s="89"/>
      <c r="Y9" s="89"/>
      <c r="Z9" s="89"/>
      <c r="AA9" s="90"/>
      <c r="AB9" s="61">
        <f>W9/5000</f>
        <v>29</v>
      </c>
    </row>
    <row r="10" spans="1:35" s="40" customFormat="1" ht="15" customHeight="1" x14ac:dyDescent="0.15">
      <c r="A10" s="117"/>
      <c r="B10" s="117"/>
      <c r="C10" s="117"/>
      <c r="D10" s="94" t="s">
        <v>33</v>
      </c>
      <c r="E10" s="95"/>
      <c r="F10" s="95"/>
      <c r="G10" s="96"/>
      <c r="H10" s="93">
        <f>SUMIFS('입출고 입력'!H$13:H$516,'입출고 입력'!E$13:E$516,D10,'입출고 입력'!B$13:B$516,$H$5)</f>
        <v>0</v>
      </c>
      <c r="I10" s="100"/>
      <c r="J10" s="100"/>
      <c r="K10" s="101">
        <f>SUMIFS('입출고 입력'!H$13:H$516,'입출고 입력'!E$13:E$516,D10,'입출고 입력'!B$13:B$516,$K$5)</f>
        <v>155000</v>
      </c>
      <c r="L10" s="101"/>
      <c r="M10" s="101"/>
      <c r="N10" s="101"/>
      <c r="O10" s="101"/>
      <c r="P10" s="101"/>
      <c r="Q10" s="101">
        <f>SUMIFS('입출고 입력'!H$13:H$516,'입출고 입력'!E$13:E$516,D10,'입출고 입력'!B$13:B$516,$Q$5)</f>
        <v>0</v>
      </c>
      <c r="R10" s="101"/>
      <c r="S10" s="101"/>
      <c r="T10" s="101"/>
      <c r="U10" s="101"/>
      <c r="V10" s="101"/>
      <c r="W10" s="88">
        <f t="shared" si="0"/>
        <v>155000</v>
      </c>
      <c r="X10" s="89"/>
      <c r="Y10" s="89"/>
      <c r="Z10" s="89"/>
      <c r="AA10" s="90"/>
      <c r="AB10" s="61">
        <f>W10/5000</f>
        <v>31</v>
      </c>
    </row>
    <row r="11" spans="1:35" s="40" customFormat="1" ht="15" customHeight="1" x14ac:dyDescent="0.15">
      <c r="A11" s="85"/>
      <c r="B11" s="85"/>
      <c r="C11" s="85"/>
      <c r="D11" s="97" t="s">
        <v>45</v>
      </c>
      <c r="E11" s="98"/>
      <c r="F11" s="98"/>
      <c r="G11" s="99"/>
      <c r="H11" s="93">
        <f>SUMIFS('입출고 입력'!H$13:H$516,'입출고 입력'!E$13:E$516,D11,'입출고 입력'!B$13:B$516,$H$5)</f>
        <v>0</v>
      </c>
      <c r="I11" s="100"/>
      <c r="J11" s="100"/>
      <c r="K11" s="101">
        <f>SUMIFS('입출고 입력'!H$13:H$516,'입출고 입력'!E$13:E$516,D11,'입출고 입력'!B$13:B$516,$K$5)</f>
        <v>120000</v>
      </c>
      <c r="L11" s="101"/>
      <c r="M11" s="101"/>
      <c r="N11" s="101"/>
      <c r="O11" s="101"/>
      <c r="P11" s="101"/>
      <c r="Q11" s="101">
        <f>SUMIFS('입출고 입력'!H$13:H$516,'입출고 입력'!E$13:E$516,D11,'입출고 입력'!B$13:B$516,$Q$5)</f>
        <v>0</v>
      </c>
      <c r="R11" s="101"/>
      <c r="S11" s="101"/>
      <c r="T11" s="101"/>
      <c r="U11" s="101"/>
      <c r="V11" s="101"/>
      <c r="W11" s="88">
        <f t="shared" ref="W11" si="2">K11-Q11-H11</f>
        <v>120000</v>
      </c>
      <c r="X11" s="89"/>
      <c r="Y11" s="89"/>
      <c r="Z11" s="89"/>
      <c r="AA11" s="90"/>
      <c r="AB11" s="61"/>
    </row>
    <row r="12" spans="1:35" s="40" customFormat="1" ht="15" customHeight="1" x14ac:dyDescent="0.15">
      <c r="A12" s="41"/>
      <c r="B12" s="41"/>
      <c r="C12" s="41"/>
      <c r="D12" s="94" t="s">
        <v>82</v>
      </c>
      <c r="E12" s="95"/>
      <c r="F12" s="95"/>
      <c r="G12" s="96"/>
      <c r="H12" s="93">
        <f>SUMIFS('입출고 입력'!H$13:H$516,'입출고 입력'!E$13:E$516,D12,'입출고 입력'!B$13:B$516,$H$5)</f>
        <v>0</v>
      </c>
      <c r="I12" s="100"/>
      <c r="J12" s="100"/>
      <c r="K12" s="101">
        <f>SUMIFS('입출고 입력'!H$13:H$516,'입출고 입력'!E$13:E$516,D12,'입출고 입력'!B$13:B$516,$K$5)</f>
        <v>74000</v>
      </c>
      <c r="L12" s="101"/>
      <c r="M12" s="101"/>
      <c r="N12" s="101"/>
      <c r="O12" s="101"/>
      <c r="P12" s="101"/>
      <c r="Q12" s="101">
        <f>SUMIFS('입출고 입력'!H$13:H$516,'입출고 입력'!E$13:E$516,D12,'입출고 입력'!B$13:B$516,$Q$5)</f>
        <v>0</v>
      </c>
      <c r="R12" s="101"/>
      <c r="S12" s="101"/>
      <c r="T12" s="101"/>
      <c r="U12" s="101"/>
      <c r="V12" s="101"/>
      <c r="W12" s="88">
        <f t="shared" si="0"/>
        <v>74000</v>
      </c>
      <c r="X12" s="89"/>
      <c r="Y12" s="89"/>
      <c r="Z12" s="89"/>
      <c r="AA12" s="90"/>
      <c r="AB12" s="61">
        <f>W12/5000</f>
        <v>14.8</v>
      </c>
      <c r="AF12" s="40">
        <v>0</v>
      </c>
    </row>
    <row r="13" spans="1:35" s="40" customFormat="1" ht="15" customHeight="1" x14ac:dyDescent="0.15">
      <c r="A13" s="41"/>
      <c r="B13" s="41"/>
      <c r="C13" s="41"/>
      <c r="D13" s="97" t="s">
        <v>57</v>
      </c>
      <c r="E13" s="98"/>
      <c r="F13" s="98"/>
      <c r="G13" s="99"/>
      <c r="H13" s="91">
        <f>SUMIFS('입출고 입력'!H$13:H$516,'입출고 입력'!E$13:E$516,D13,'입출고 입력'!B$13:B$516,$H$5)</f>
        <v>0</v>
      </c>
      <c r="I13" s="92"/>
      <c r="J13" s="93"/>
      <c r="K13" s="105">
        <f>SUMIFS('입출고 입력'!H$13:H$516,'입출고 입력'!E$13:E$516,D13,'입출고 입력'!B$13:B$516,$K$5)</f>
        <v>83000</v>
      </c>
      <c r="L13" s="106"/>
      <c r="M13" s="106"/>
      <c r="N13" s="106"/>
      <c r="O13" s="106"/>
      <c r="P13" s="107"/>
      <c r="Q13" s="105">
        <f>SUMIFS('입출고 입력'!H$13:H$516,'입출고 입력'!E$13:E$516,D13,'입출고 입력'!B$13:B$516,$Q$5)</f>
        <v>0</v>
      </c>
      <c r="R13" s="106"/>
      <c r="S13" s="106"/>
      <c r="T13" s="106"/>
      <c r="U13" s="106"/>
      <c r="V13" s="107"/>
      <c r="W13" s="102">
        <f t="shared" si="0"/>
        <v>83000</v>
      </c>
      <c r="X13" s="103"/>
      <c r="Y13" s="103"/>
      <c r="Z13" s="103"/>
      <c r="AA13" s="104"/>
      <c r="AD13" s="59"/>
      <c r="AE13" s="59"/>
      <c r="AF13" s="59"/>
      <c r="AI13" s="59"/>
    </row>
    <row r="14" spans="1:35" s="40" customFormat="1" ht="15" customHeight="1" x14ac:dyDescent="0.15">
      <c r="A14" s="41"/>
      <c r="B14" s="41"/>
      <c r="C14" s="41"/>
      <c r="D14" s="97" t="s">
        <v>83</v>
      </c>
      <c r="E14" s="98"/>
      <c r="F14" s="98"/>
      <c r="G14" s="99"/>
      <c r="H14" s="91">
        <f>SUMIFS('입출고 입력'!H$13:H$516,'입출고 입력'!E$13:E$516,D14,'입출고 입력'!B$13:B$516,$H$5)</f>
        <v>0</v>
      </c>
      <c r="I14" s="92"/>
      <c r="J14" s="93"/>
      <c r="K14" s="105">
        <f>SUMIFS('입출고 입력'!H$13:H$516,'입출고 입력'!E$13:E$516,D14,'입출고 입력'!B$13:B$516,$K$5)</f>
        <v>180000</v>
      </c>
      <c r="L14" s="106"/>
      <c r="M14" s="106"/>
      <c r="N14" s="106"/>
      <c r="O14" s="106"/>
      <c r="P14" s="107"/>
      <c r="Q14" s="105">
        <f>SUMIFS('입출고 입력'!H$13:H$516,'입출고 입력'!E$13:E$516,D14,'입출고 입력'!B$13:B$516,$Q$5)</f>
        <v>0</v>
      </c>
      <c r="R14" s="106"/>
      <c r="S14" s="106"/>
      <c r="T14" s="106"/>
      <c r="U14" s="106"/>
      <c r="V14" s="107"/>
      <c r="W14" s="102">
        <f t="shared" ref="W14" si="3">K14-Q14-H14</f>
        <v>180000</v>
      </c>
      <c r="X14" s="103"/>
      <c r="Y14" s="103"/>
      <c r="Z14" s="103"/>
      <c r="AA14" s="104"/>
      <c r="AD14" s="59"/>
      <c r="AE14" s="59"/>
      <c r="AF14" s="59"/>
      <c r="AI14" s="59"/>
    </row>
    <row r="15" spans="1:35" s="40" customFormat="1" ht="15" customHeight="1" x14ac:dyDescent="0.15">
      <c r="A15" s="44"/>
      <c r="B15" s="41"/>
      <c r="C15" s="41"/>
      <c r="D15" s="97" t="s">
        <v>62</v>
      </c>
      <c r="E15" s="98"/>
      <c r="F15" s="98"/>
      <c r="G15" s="99"/>
      <c r="H15" s="91">
        <f>SUMIFS('입출고 입력'!H$13:H$516,'입출고 입력'!E$13:E$516,D15,'입출고 입력'!B$13:B$516,$H$5)</f>
        <v>0</v>
      </c>
      <c r="I15" s="92"/>
      <c r="J15" s="93"/>
      <c r="K15" s="105">
        <f>SUMIFS('입출고 입력'!H$13:H$516,'입출고 입력'!E$13:E$516,D15,'입출고 입력'!B$13:B$516,$K$5)</f>
        <v>155000</v>
      </c>
      <c r="L15" s="106"/>
      <c r="M15" s="106"/>
      <c r="N15" s="106"/>
      <c r="O15" s="106"/>
      <c r="P15" s="107"/>
      <c r="Q15" s="105">
        <f>SUMIFS('입출고 입력'!H$13:H$516,'입출고 입력'!E$13:E$516,D15,'입출고 입력'!B$13:B$516,$Q$5)</f>
        <v>0</v>
      </c>
      <c r="R15" s="106"/>
      <c r="S15" s="106"/>
      <c r="T15" s="106"/>
      <c r="U15" s="106"/>
      <c r="V15" s="107"/>
      <c r="W15" s="102">
        <f t="shared" si="0"/>
        <v>155000</v>
      </c>
      <c r="X15" s="103"/>
      <c r="Y15" s="103"/>
      <c r="Z15" s="103"/>
      <c r="AA15" s="104"/>
      <c r="AD15" s="59"/>
      <c r="AE15" s="59"/>
      <c r="AF15" s="59"/>
    </row>
    <row r="16" spans="1:35" s="40" customFormat="1" ht="15" customHeight="1" x14ac:dyDescent="0.15">
      <c r="A16" s="41"/>
      <c r="B16" s="41"/>
      <c r="C16" s="41"/>
      <c r="D16" s="94" t="s">
        <v>79</v>
      </c>
      <c r="E16" s="95"/>
      <c r="F16" s="95"/>
      <c r="G16" s="96"/>
      <c r="H16" s="93">
        <f>SUMIFS('입출고 입력'!H$13:H$516,'입출고 입력'!E$13:E$516,D16,'입출고 입력'!B$13:B$516,$H$5)</f>
        <v>0</v>
      </c>
      <c r="I16" s="100"/>
      <c r="J16" s="100"/>
      <c r="K16" s="101">
        <f>SUMIFS('입출고 입력'!H$13:H$516,'입출고 입력'!E$13:E$516,D16,'입출고 입력'!B$13:B$516,$K$5)</f>
        <v>0</v>
      </c>
      <c r="L16" s="101"/>
      <c r="M16" s="101"/>
      <c r="N16" s="101"/>
      <c r="O16" s="101"/>
      <c r="P16" s="101"/>
      <c r="Q16" s="101">
        <f>SUMIFS('입출고 입력'!H$13:H$516,'입출고 입력'!E$13:E$516,D16,'입출고 입력'!B$13:B$516,$Q$5)</f>
        <v>0</v>
      </c>
      <c r="R16" s="101"/>
      <c r="S16" s="101"/>
      <c r="T16" s="101"/>
      <c r="U16" s="101"/>
      <c r="V16" s="101"/>
      <c r="W16" s="88">
        <f t="shared" ref="W16" si="4">K16-Q16-H16</f>
        <v>0</v>
      </c>
      <c r="X16" s="89"/>
      <c r="Y16" s="89"/>
      <c r="Z16" s="89"/>
      <c r="AA16" s="90"/>
      <c r="AD16" s="59"/>
      <c r="AE16" s="59"/>
      <c r="AF16" s="59"/>
      <c r="AG16" s="60"/>
      <c r="AH16" s="59"/>
      <c r="AI16" s="59"/>
    </row>
    <row r="17" spans="1:35" s="40" customFormat="1" ht="15" customHeight="1" x14ac:dyDescent="0.15">
      <c r="A17" s="41"/>
      <c r="B17" s="41"/>
      <c r="C17" s="41"/>
      <c r="D17" s="97" t="s">
        <v>92</v>
      </c>
      <c r="E17" s="98"/>
      <c r="F17" s="98"/>
      <c r="G17" s="99"/>
      <c r="H17" s="93">
        <f>SUMIFS('입출고 입력'!H$13:H$516,'입출고 입력'!E$13:E$516,D17,'입출고 입력'!B$13:B$516,$H$5)</f>
        <v>0</v>
      </c>
      <c r="I17" s="100"/>
      <c r="J17" s="100"/>
      <c r="K17" s="101">
        <f>SUMIFS('입출고 입력'!H$13:H$516,'입출고 입력'!E$13:E$516,D17,'입출고 입력'!B$13:B$516,$K$5)</f>
        <v>0</v>
      </c>
      <c r="L17" s="101"/>
      <c r="M17" s="101"/>
      <c r="N17" s="101"/>
      <c r="O17" s="101"/>
      <c r="P17" s="101"/>
      <c r="Q17" s="101">
        <f>SUMIFS('입출고 입력'!H$13:H$516,'입출고 입력'!E$13:E$516,D17,'입출고 입력'!B$13:B$516,$Q$5)</f>
        <v>0</v>
      </c>
      <c r="R17" s="101"/>
      <c r="S17" s="101"/>
      <c r="T17" s="101"/>
      <c r="U17" s="101"/>
      <c r="V17" s="101"/>
      <c r="W17" s="88">
        <f t="shared" ref="W17" si="5">K17-Q17-H17</f>
        <v>0</v>
      </c>
      <c r="X17" s="89"/>
      <c r="Y17" s="89"/>
      <c r="Z17" s="89"/>
      <c r="AA17" s="90"/>
      <c r="AD17" s="59"/>
      <c r="AE17" s="78" t="s">
        <v>66</v>
      </c>
      <c r="AF17" s="78" t="s">
        <v>0</v>
      </c>
      <c r="AG17" s="79" t="s">
        <v>72</v>
      </c>
      <c r="AH17" s="78" t="s">
        <v>73</v>
      </c>
      <c r="AI17" s="81"/>
    </row>
    <row r="18" spans="1:35" s="40" customFormat="1" ht="15" customHeight="1" x14ac:dyDescent="0.15">
      <c r="A18" s="41"/>
      <c r="B18" s="41"/>
      <c r="C18" s="41"/>
      <c r="D18" s="94" t="s">
        <v>90</v>
      </c>
      <c r="E18" s="95"/>
      <c r="F18" s="95"/>
      <c r="G18" s="96"/>
      <c r="H18" s="93">
        <f>SUMIFS('입출고 입력'!H$13:H$516,'입출고 입력'!E$13:E$516,D18,'입출고 입력'!B$13:B$516,$H$5)</f>
        <v>0</v>
      </c>
      <c r="I18" s="100"/>
      <c r="J18" s="100"/>
      <c r="K18" s="101">
        <f>SUMIFS('입출고 입력'!H$13:H$516,'입출고 입력'!E$13:E$516,D18,'입출고 입력'!B$13:B$516,$K$5)</f>
        <v>0</v>
      </c>
      <c r="L18" s="101"/>
      <c r="M18" s="101"/>
      <c r="N18" s="101"/>
      <c r="O18" s="101"/>
      <c r="P18" s="101"/>
      <c r="Q18" s="101">
        <f>SUMIFS('입출고 입력'!H$13:H$516,'입출고 입력'!E$13:E$516,D18,'입출고 입력'!B$13:B$516,$Q$5)</f>
        <v>0</v>
      </c>
      <c r="R18" s="101"/>
      <c r="S18" s="101"/>
      <c r="T18" s="101"/>
      <c r="U18" s="101"/>
      <c r="V18" s="101"/>
      <c r="W18" s="88">
        <f t="shared" ref="W18" si="6">K18-Q18-H18</f>
        <v>0</v>
      </c>
      <c r="X18" s="89"/>
      <c r="Y18" s="89"/>
      <c r="Z18" s="89"/>
      <c r="AA18" s="90"/>
      <c r="AD18" s="59"/>
      <c r="AE18" s="87" t="s">
        <v>65</v>
      </c>
      <c r="AF18" s="78" t="s">
        <v>67</v>
      </c>
      <c r="AG18" s="86" t="s">
        <v>85</v>
      </c>
      <c r="AH18" s="86" t="s">
        <v>86</v>
      </c>
      <c r="AI18" s="81"/>
    </row>
    <row r="19" spans="1:35" s="40" customFormat="1" ht="15" customHeight="1" x14ac:dyDescent="0.15">
      <c r="A19" s="44"/>
      <c r="B19" s="41"/>
      <c r="C19" s="41"/>
      <c r="D19" s="94" t="s">
        <v>84</v>
      </c>
      <c r="E19" s="95"/>
      <c r="F19" s="95"/>
      <c r="G19" s="96"/>
      <c r="H19" s="93">
        <f>SUMIFS('입출고 입력'!H$13:H$516,'입출고 입력'!E$13:E$516,D19,'입출고 입력'!B$13:B$516,$H$5)</f>
        <v>0</v>
      </c>
      <c r="I19" s="100"/>
      <c r="J19" s="100"/>
      <c r="K19" s="101">
        <f>SUMIFS('입출고 입력'!H$13:H$516,'입출고 입력'!E$13:E$516,D19,'입출고 입력'!B$13:B$516,$K$5)</f>
        <v>0</v>
      </c>
      <c r="L19" s="101"/>
      <c r="M19" s="101"/>
      <c r="N19" s="101"/>
      <c r="O19" s="101"/>
      <c r="P19" s="101"/>
      <c r="Q19" s="101">
        <f>SUMIFS('입출고 입력'!H$13:H$516,'입출고 입력'!E$13:E$516,D19,'입출고 입력'!B$13:B$516,$Q$5)</f>
        <v>0</v>
      </c>
      <c r="R19" s="101"/>
      <c r="S19" s="101"/>
      <c r="T19" s="101"/>
      <c r="U19" s="101"/>
      <c r="V19" s="101"/>
      <c r="W19" s="88">
        <f t="shared" ref="W19" si="7">K19-Q19-H19</f>
        <v>0</v>
      </c>
      <c r="X19" s="89"/>
      <c r="Y19" s="89"/>
      <c r="Z19" s="89"/>
      <c r="AA19" s="90"/>
      <c r="AE19" s="87"/>
      <c r="AF19" s="78" t="s">
        <v>74</v>
      </c>
      <c r="AG19" s="108" t="s">
        <v>95</v>
      </c>
      <c r="AH19" s="109"/>
      <c r="AI19" s="82"/>
    </row>
    <row r="20" spans="1:35" s="40" customFormat="1" ht="15" customHeight="1" x14ac:dyDescent="0.15">
      <c r="A20" s="44"/>
      <c r="B20" s="41"/>
      <c r="C20" s="41"/>
      <c r="D20" s="97" t="s">
        <v>63</v>
      </c>
      <c r="E20" s="98"/>
      <c r="F20" s="98"/>
      <c r="G20" s="99"/>
      <c r="H20" s="93">
        <f>SUMIFS('입출고 입력'!H$13:H$516,'입출고 입력'!E$13:E$516,D20,'입출고 입력'!B$13:B$516,$H$5)</f>
        <v>0</v>
      </c>
      <c r="I20" s="100"/>
      <c r="J20" s="100"/>
      <c r="K20" s="101">
        <f>SUMIFS('입출고 입력'!H$13:H$516,'입출고 입력'!E$13:E$516,D20,'입출고 입력'!B$13:B$516,$K$5)</f>
        <v>45000</v>
      </c>
      <c r="L20" s="101"/>
      <c r="M20" s="101"/>
      <c r="N20" s="101"/>
      <c r="O20" s="101"/>
      <c r="P20" s="101"/>
      <c r="Q20" s="101">
        <f>SUMIFS('입출고 입력'!H$13:H$516,'입출고 입력'!E$13:E$516,D20,'입출고 입력'!B$13:B$516,$Q$5)</f>
        <v>0</v>
      </c>
      <c r="R20" s="101"/>
      <c r="S20" s="101"/>
      <c r="T20" s="101"/>
      <c r="U20" s="101"/>
      <c r="V20" s="101"/>
      <c r="W20" s="88">
        <f t="shared" ref="W20" si="8">K20-Q20-H20</f>
        <v>45000</v>
      </c>
      <c r="X20" s="89"/>
      <c r="Y20" s="89"/>
      <c r="Z20" s="89"/>
      <c r="AA20" s="90"/>
      <c r="AE20" s="87" t="s">
        <v>68</v>
      </c>
      <c r="AF20" s="78" t="s">
        <v>69</v>
      </c>
      <c r="AG20" s="80" t="s">
        <v>93</v>
      </c>
      <c r="AH20" s="78" t="s">
        <v>89</v>
      </c>
      <c r="AI20" s="82"/>
    </row>
    <row r="21" spans="1:35" s="40" customFormat="1" ht="15" customHeight="1" x14ac:dyDescent="0.15">
      <c r="A21" s="41"/>
      <c r="B21" s="41"/>
      <c r="C21" s="41"/>
      <c r="D21" s="94" t="s">
        <v>78</v>
      </c>
      <c r="E21" s="95"/>
      <c r="F21" s="95"/>
      <c r="G21" s="96"/>
      <c r="H21" s="93">
        <f>SUMIFS('입출고 입력'!H$13:H$516,'입출고 입력'!E$13:E$516,D21,'입출고 입력'!B$13:B$516,$H$5)</f>
        <v>0</v>
      </c>
      <c r="I21" s="100"/>
      <c r="J21" s="100"/>
      <c r="K21" s="101">
        <f>SUMIFS('입출고 입력'!H$13:H$516,'입출고 입력'!E$13:E$516,D21,'입출고 입력'!B$13:B$516,$K$5)</f>
        <v>0</v>
      </c>
      <c r="L21" s="101"/>
      <c r="M21" s="101"/>
      <c r="N21" s="101"/>
      <c r="O21" s="101"/>
      <c r="P21" s="101"/>
      <c r="Q21" s="101">
        <f>SUMIFS('입출고 입력'!H$13:H$516,'입출고 입력'!E$13:E$516,D21,'입출고 입력'!B$13:B$516,$Q$5)</f>
        <v>0</v>
      </c>
      <c r="R21" s="101"/>
      <c r="S21" s="101"/>
      <c r="T21" s="101"/>
      <c r="U21" s="101"/>
      <c r="V21" s="101"/>
      <c r="W21" s="88">
        <f t="shared" ref="W21" si="9">K21-Q21-H21</f>
        <v>0</v>
      </c>
      <c r="X21" s="89"/>
      <c r="Y21" s="89"/>
      <c r="Z21" s="89"/>
      <c r="AA21" s="90"/>
      <c r="AE21" s="87"/>
      <c r="AF21" s="78" t="s">
        <v>70</v>
      </c>
      <c r="AG21" s="78" t="s">
        <v>87</v>
      </c>
      <c r="AH21" s="78" t="s">
        <v>88</v>
      </c>
      <c r="AI21" s="83" t="s">
        <v>96</v>
      </c>
    </row>
    <row r="22" spans="1:35" s="40" customFormat="1" ht="15" customHeight="1" x14ac:dyDescent="0.15">
      <c r="A22" s="41"/>
      <c r="B22" s="41"/>
      <c r="C22" s="41"/>
      <c r="D22" s="41"/>
      <c r="E22" s="45"/>
      <c r="F22" s="45"/>
      <c r="G22" s="45"/>
      <c r="H22" s="45"/>
      <c r="I22" s="45"/>
      <c r="J22" s="45"/>
      <c r="K22" s="41"/>
      <c r="L22" s="41"/>
      <c r="M22" s="41"/>
      <c r="N22" s="41"/>
      <c r="O22" s="41"/>
      <c r="P22" s="41"/>
      <c r="Q22" s="41"/>
      <c r="R22" s="41"/>
      <c r="S22" s="41"/>
      <c r="T22" s="45"/>
      <c r="U22" s="45"/>
      <c r="V22" s="45"/>
      <c r="W22" s="45"/>
      <c r="X22" s="45"/>
      <c r="Y22" s="45"/>
      <c r="Z22" s="47"/>
      <c r="AA22" s="48"/>
      <c r="AE22" s="87"/>
      <c r="AF22" s="78" t="s">
        <v>71</v>
      </c>
      <c r="AG22" s="80"/>
      <c r="AH22" s="80" t="s">
        <v>94</v>
      </c>
      <c r="AI22" s="84"/>
    </row>
    <row r="23" spans="1:35" s="40" customFormat="1" ht="15" customHeight="1" x14ac:dyDescent="0.15">
      <c r="A23" s="41"/>
      <c r="B23" s="41"/>
      <c r="C23" s="41"/>
      <c r="D23" s="41"/>
      <c r="E23" s="45"/>
      <c r="F23" s="45"/>
      <c r="G23" s="45"/>
      <c r="H23" s="45"/>
      <c r="I23" s="45"/>
      <c r="J23" s="45"/>
      <c r="K23" s="41"/>
      <c r="L23" s="41"/>
      <c r="M23" s="41"/>
      <c r="N23" s="41"/>
      <c r="O23" s="41"/>
      <c r="P23" s="41"/>
      <c r="Q23" s="41"/>
      <c r="R23" s="41"/>
      <c r="S23" s="41"/>
      <c r="T23" s="45"/>
      <c r="U23" s="45"/>
      <c r="V23" s="45"/>
      <c r="W23" s="45"/>
      <c r="X23" s="45"/>
      <c r="Y23" s="45"/>
      <c r="Z23" s="47"/>
      <c r="AA23" s="48"/>
      <c r="AE23" s="78" t="s">
        <v>75</v>
      </c>
      <c r="AF23" s="78" t="s">
        <v>71</v>
      </c>
      <c r="AG23" s="78"/>
      <c r="AH23" s="78"/>
    </row>
    <row r="24" spans="1:35" s="40" customFormat="1" ht="15" customHeight="1" x14ac:dyDescent="0.15">
      <c r="A24" s="41"/>
      <c r="B24" s="41"/>
      <c r="C24" s="41"/>
      <c r="D24" s="41"/>
      <c r="E24" s="45"/>
      <c r="F24" s="45"/>
      <c r="G24" s="45"/>
      <c r="H24" s="45"/>
      <c r="I24" s="45"/>
      <c r="J24" s="45"/>
      <c r="K24" s="41"/>
      <c r="L24" s="41"/>
      <c r="M24" s="41"/>
      <c r="N24" s="41"/>
      <c r="O24" s="41"/>
      <c r="P24" s="41"/>
      <c r="Q24" s="41"/>
      <c r="R24" s="41"/>
      <c r="S24" s="41"/>
      <c r="T24" s="45"/>
      <c r="U24" s="45"/>
      <c r="V24" s="45"/>
      <c r="W24" s="45"/>
      <c r="X24" s="45"/>
      <c r="Y24" s="45"/>
      <c r="Z24" s="47"/>
      <c r="AA24" s="48"/>
      <c r="AE24" s="78" t="s">
        <v>76</v>
      </c>
      <c r="AF24" s="78" t="s">
        <v>77</v>
      </c>
      <c r="AG24" s="78">
        <v>800</v>
      </c>
      <c r="AH24" s="78"/>
    </row>
    <row r="25" spans="1:35" s="40" customFormat="1" ht="15" customHeight="1" x14ac:dyDescent="0.15">
      <c r="A25" s="41"/>
      <c r="B25" s="41"/>
      <c r="C25" s="41"/>
      <c r="D25" s="41"/>
      <c r="E25" s="45"/>
      <c r="F25" s="45"/>
      <c r="G25" s="45"/>
      <c r="H25" s="45"/>
      <c r="I25" s="45"/>
      <c r="J25" s="45"/>
      <c r="K25" s="41"/>
      <c r="L25" s="41"/>
      <c r="M25" s="41"/>
      <c r="N25" s="41"/>
      <c r="O25" s="41"/>
      <c r="P25" s="41"/>
      <c r="Q25" s="41"/>
      <c r="R25" s="41"/>
      <c r="S25" s="41"/>
      <c r="T25" s="45"/>
      <c r="U25" s="45"/>
      <c r="V25" s="45"/>
      <c r="W25" s="45"/>
      <c r="X25" s="45"/>
      <c r="Y25" s="45"/>
      <c r="Z25" s="47"/>
      <c r="AA25" s="48"/>
    </row>
    <row r="26" spans="1:35" s="40" customFormat="1" ht="15" customHeight="1" x14ac:dyDescent="0.15">
      <c r="A26" s="41"/>
      <c r="B26" s="41"/>
      <c r="C26" s="41"/>
      <c r="D26" s="41"/>
      <c r="E26" s="45"/>
      <c r="F26" s="45"/>
      <c r="G26" s="45"/>
      <c r="H26" s="45"/>
      <c r="I26" s="45"/>
      <c r="J26" s="45"/>
      <c r="K26" s="41"/>
      <c r="L26" s="41"/>
      <c r="M26" s="41"/>
      <c r="N26" s="41"/>
      <c r="O26" s="41"/>
      <c r="P26" s="41"/>
      <c r="Q26" s="41"/>
      <c r="R26" s="41"/>
      <c r="S26" s="41"/>
      <c r="T26" s="45"/>
      <c r="U26" s="45"/>
      <c r="V26" s="45"/>
      <c r="W26" s="45"/>
      <c r="X26" s="45"/>
      <c r="Y26" s="45"/>
      <c r="Z26" s="47"/>
      <c r="AA26" s="48"/>
      <c r="AE26" s="40" t="s">
        <v>53</v>
      </c>
    </row>
    <row r="27" spans="1:35" s="40" customFormat="1" ht="15" customHeight="1" x14ac:dyDescent="0.15">
      <c r="A27" s="41"/>
      <c r="B27" s="41"/>
      <c r="C27" s="41"/>
      <c r="D27" s="41"/>
      <c r="E27" s="45"/>
      <c r="F27" s="45"/>
      <c r="G27" s="45"/>
      <c r="H27" s="45"/>
      <c r="I27" s="45"/>
      <c r="J27" s="45"/>
      <c r="K27" s="41"/>
      <c r="L27" s="41"/>
      <c r="M27" s="41"/>
      <c r="N27" s="41"/>
      <c r="O27" s="41"/>
      <c r="P27" s="41"/>
      <c r="Q27" s="41"/>
      <c r="R27" s="41"/>
      <c r="S27" s="41"/>
      <c r="T27" s="45"/>
      <c r="U27" s="45"/>
      <c r="V27" s="45"/>
      <c r="W27" s="45"/>
      <c r="X27" s="45"/>
      <c r="Y27" s="45"/>
      <c r="Z27" s="47"/>
      <c r="AA27" s="48"/>
    </row>
    <row r="28" spans="1:35" s="40" customFormat="1" ht="15" customHeight="1" x14ac:dyDescent="0.15">
      <c r="A28" s="44"/>
      <c r="B28" s="44"/>
      <c r="C28" s="41"/>
      <c r="D28" s="41"/>
      <c r="E28" s="41"/>
      <c r="F28" s="41"/>
      <c r="G28" s="42"/>
      <c r="H28" s="42"/>
      <c r="I28" s="42"/>
      <c r="J28" s="42"/>
      <c r="K28" s="41"/>
      <c r="L28" s="41"/>
      <c r="M28" s="41"/>
      <c r="N28" s="41"/>
      <c r="O28" s="41"/>
      <c r="P28" s="41"/>
      <c r="Q28" s="41"/>
      <c r="R28" s="41"/>
      <c r="S28" s="41"/>
      <c r="T28" s="45"/>
      <c r="U28" s="45"/>
      <c r="V28" s="45"/>
      <c r="W28" s="45"/>
      <c r="X28" s="45"/>
      <c r="Y28" s="45"/>
      <c r="Z28" s="47"/>
      <c r="AA28" s="48"/>
    </row>
    <row r="29" spans="1:35" s="40" customFormat="1" ht="11.25" customHeight="1" x14ac:dyDescent="0.15">
      <c r="A29" s="44"/>
      <c r="B29" s="44"/>
      <c r="C29" s="41"/>
      <c r="D29" s="41"/>
      <c r="E29" s="41"/>
      <c r="F29" s="41"/>
      <c r="G29" s="42"/>
      <c r="H29" s="42"/>
      <c r="I29" s="42"/>
      <c r="J29" s="42"/>
      <c r="K29" s="41"/>
      <c r="L29" s="41"/>
      <c r="M29" s="41"/>
      <c r="N29" s="41"/>
      <c r="O29" s="41"/>
      <c r="P29" s="41"/>
      <c r="Q29" s="41"/>
      <c r="R29" s="41"/>
      <c r="S29" s="41"/>
      <c r="T29" s="45"/>
      <c r="U29" s="45"/>
      <c r="V29" s="45"/>
      <c r="W29" s="45"/>
      <c r="X29" s="45"/>
      <c r="Y29" s="45"/>
      <c r="Z29" s="47"/>
      <c r="AA29" s="48"/>
    </row>
    <row r="30" spans="1:35" s="40" customFormat="1" ht="11.25" customHeight="1" x14ac:dyDescent="0.15">
      <c r="A30" s="44"/>
      <c r="B30" s="44"/>
      <c r="C30" s="41"/>
      <c r="D30" s="41"/>
      <c r="E30" s="41"/>
      <c r="F30" s="41"/>
      <c r="G30" s="42"/>
      <c r="H30" s="42"/>
      <c r="I30" s="42"/>
      <c r="J30" s="42"/>
      <c r="K30" s="41"/>
      <c r="L30" s="41"/>
      <c r="M30" s="41"/>
      <c r="N30" s="41"/>
      <c r="O30" s="41"/>
      <c r="P30" s="41"/>
      <c r="Q30" s="41"/>
      <c r="R30" s="41"/>
      <c r="S30" s="41"/>
      <c r="T30" s="45"/>
      <c r="U30" s="45"/>
      <c r="V30" s="45"/>
      <c r="W30" s="45"/>
      <c r="X30" s="45"/>
      <c r="Y30" s="45"/>
      <c r="Z30" s="47"/>
      <c r="AA30" s="48"/>
    </row>
    <row r="31" spans="1:35" s="40" customFormat="1" ht="11.25" customHeight="1" x14ac:dyDescent="0.15">
      <c r="A31" s="44"/>
      <c r="B31" s="44"/>
      <c r="C31" s="41"/>
      <c r="D31" s="41"/>
      <c r="E31" s="41"/>
      <c r="F31" s="41"/>
      <c r="G31" s="42"/>
      <c r="H31" s="42"/>
      <c r="I31" s="42"/>
      <c r="J31" s="42"/>
      <c r="K31" s="41"/>
      <c r="L31" s="41"/>
      <c r="M31" s="41"/>
      <c r="N31" s="41"/>
      <c r="O31" s="41"/>
      <c r="P31" s="41"/>
      <c r="Q31" s="41"/>
      <c r="R31" s="41"/>
      <c r="S31" s="41"/>
      <c r="T31" s="45"/>
      <c r="U31" s="45"/>
      <c r="V31" s="45"/>
      <c r="W31" s="45"/>
      <c r="X31" s="45"/>
      <c r="Y31" s="45"/>
      <c r="Z31" s="47"/>
      <c r="AA31" s="48"/>
    </row>
    <row r="32" spans="1:35" s="40" customFormat="1" ht="11.25" customHeight="1" x14ac:dyDescent="0.15">
      <c r="A32" s="44"/>
      <c r="B32" s="44"/>
      <c r="C32" s="41"/>
      <c r="D32" s="41"/>
      <c r="E32" s="41"/>
      <c r="F32" s="41"/>
      <c r="G32" s="42"/>
      <c r="H32" s="42"/>
      <c r="I32" s="42"/>
      <c r="J32" s="42"/>
      <c r="K32" s="41"/>
      <c r="L32" s="41"/>
      <c r="M32" s="41"/>
      <c r="N32" s="41"/>
      <c r="O32" s="41"/>
      <c r="P32" s="41"/>
      <c r="Q32" s="41"/>
      <c r="R32" s="41"/>
      <c r="S32" s="41"/>
      <c r="T32" s="45"/>
      <c r="U32" s="45"/>
      <c r="V32" s="45"/>
      <c r="W32" s="45"/>
      <c r="X32" s="45"/>
      <c r="Y32" s="45"/>
      <c r="Z32" s="47"/>
      <c r="AA32" s="48"/>
    </row>
    <row r="33" spans="1:27" s="40" customFormat="1" ht="11.25" customHeight="1" x14ac:dyDescent="0.15">
      <c r="A33" s="44"/>
      <c r="B33" s="44"/>
      <c r="C33" s="41"/>
      <c r="D33" s="41"/>
      <c r="E33" s="41"/>
      <c r="F33" s="41"/>
      <c r="G33" s="42"/>
      <c r="H33" s="42"/>
      <c r="I33" s="42"/>
      <c r="J33" s="42"/>
      <c r="K33" s="41"/>
      <c r="L33" s="41"/>
      <c r="M33" s="41"/>
      <c r="N33" s="41"/>
      <c r="O33" s="41"/>
      <c r="P33" s="41"/>
      <c r="Q33" s="41"/>
      <c r="R33" s="41"/>
      <c r="S33" s="41"/>
      <c r="T33" s="45"/>
      <c r="U33" s="45"/>
      <c r="V33" s="45"/>
      <c r="W33" s="45"/>
      <c r="X33" s="45"/>
      <c r="Y33" s="45"/>
      <c r="Z33" s="47"/>
      <c r="AA33" s="48" t="s">
        <v>53</v>
      </c>
    </row>
    <row r="34" spans="1:27" s="40" customFormat="1" ht="11.25" customHeight="1" x14ac:dyDescent="0.15">
      <c r="A34" s="44"/>
      <c r="B34" s="44"/>
      <c r="C34" s="41"/>
      <c r="D34" s="41"/>
      <c r="E34" s="41"/>
      <c r="F34" s="41"/>
      <c r="G34" s="42"/>
      <c r="H34" s="42"/>
      <c r="I34" s="42"/>
      <c r="J34" s="42"/>
      <c r="K34" s="41"/>
      <c r="L34" s="41"/>
      <c r="M34" s="41"/>
      <c r="N34" s="41"/>
      <c r="O34" s="41"/>
      <c r="P34" s="41"/>
      <c r="Q34" s="41"/>
      <c r="R34" s="41"/>
      <c r="S34" s="41"/>
      <c r="T34" s="45"/>
      <c r="U34" s="45"/>
      <c r="V34" s="45"/>
      <c r="W34" s="45"/>
      <c r="X34" s="45"/>
      <c r="Y34" s="45"/>
      <c r="Z34" s="47"/>
      <c r="AA34" s="48"/>
    </row>
    <row r="35" spans="1:27" s="40" customFormat="1" ht="11.25" customHeight="1" x14ac:dyDescent="0.15">
      <c r="A35" s="44"/>
      <c r="B35" s="44"/>
      <c r="C35" s="41"/>
      <c r="D35" s="41"/>
      <c r="E35" s="41"/>
      <c r="F35" s="41"/>
      <c r="G35" s="42"/>
      <c r="H35" s="42"/>
      <c r="I35" s="42"/>
      <c r="J35" s="42"/>
      <c r="K35" s="41"/>
      <c r="L35" s="41"/>
      <c r="M35" s="41"/>
      <c r="N35" s="41"/>
      <c r="O35" s="41"/>
      <c r="P35" s="41"/>
      <c r="Q35" s="41"/>
      <c r="R35" s="41"/>
      <c r="S35" s="41"/>
      <c r="T35" s="45"/>
      <c r="U35" s="45"/>
      <c r="V35" s="45"/>
      <c r="W35" s="45"/>
      <c r="X35" s="45"/>
      <c r="Y35" s="45"/>
      <c r="Z35" s="47"/>
      <c r="AA35" s="48"/>
    </row>
    <row r="36" spans="1:27" s="40" customFormat="1" ht="11.25" customHeight="1" x14ac:dyDescent="0.15">
      <c r="A36" s="44"/>
      <c r="B36" s="44"/>
      <c r="C36" s="41"/>
      <c r="D36" s="41"/>
      <c r="E36" s="49"/>
      <c r="F36" s="49"/>
      <c r="G36" s="42"/>
      <c r="H36" s="42"/>
      <c r="I36" s="42"/>
      <c r="J36" s="42"/>
      <c r="K36" s="41"/>
      <c r="L36" s="41"/>
      <c r="M36" s="41"/>
      <c r="N36" s="41"/>
      <c r="O36" s="41"/>
      <c r="P36" s="41"/>
      <c r="Q36" s="41"/>
      <c r="R36" s="41"/>
      <c r="S36" s="41"/>
      <c r="T36" s="45"/>
      <c r="U36" s="45"/>
      <c r="V36" s="45"/>
      <c r="W36" s="45"/>
      <c r="X36" s="45"/>
      <c r="Y36" s="45"/>
      <c r="Z36" s="47"/>
      <c r="AA36" s="48"/>
    </row>
    <row r="37" spans="1:27" s="40" customFormat="1" ht="11.25" customHeight="1" x14ac:dyDescent="0.15">
      <c r="A37" s="44"/>
      <c r="B37" s="44"/>
      <c r="C37" s="41"/>
      <c r="D37" s="41"/>
      <c r="E37" s="49"/>
      <c r="F37" s="49"/>
      <c r="G37" s="50"/>
      <c r="H37" s="50"/>
      <c r="I37" s="50"/>
      <c r="J37" s="50"/>
      <c r="K37" s="41"/>
      <c r="L37" s="41"/>
      <c r="M37" s="41"/>
      <c r="N37" s="41"/>
      <c r="O37" s="41"/>
      <c r="P37" s="41"/>
      <c r="Q37" s="41"/>
      <c r="R37" s="41"/>
      <c r="S37" s="41"/>
      <c r="T37" s="45"/>
      <c r="U37" s="45"/>
      <c r="V37" s="45"/>
      <c r="W37" s="45"/>
      <c r="X37" s="45"/>
      <c r="Y37" s="45"/>
      <c r="Z37" s="47"/>
      <c r="AA37" s="48"/>
    </row>
    <row r="38" spans="1:27" s="40" customFormat="1" ht="11.25" customHeight="1" x14ac:dyDescent="0.15">
      <c r="A38" s="44"/>
      <c r="B38" s="44"/>
      <c r="C38" s="41"/>
      <c r="D38" s="41"/>
      <c r="E38" s="51"/>
      <c r="F38" s="51"/>
      <c r="G38" s="52"/>
      <c r="H38" s="52"/>
      <c r="I38" s="52"/>
      <c r="J38" s="52"/>
      <c r="K38" s="41"/>
      <c r="L38" s="41"/>
      <c r="M38" s="41"/>
      <c r="N38" s="41"/>
      <c r="O38" s="41"/>
      <c r="P38" s="41"/>
      <c r="Q38" s="41"/>
      <c r="R38" s="41"/>
      <c r="S38" s="41"/>
      <c r="T38" s="45"/>
      <c r="U38" s="45"/>
      <c r="V38" s="45"/>
      <c r="W38" s="45"/>
      <c r="X38" s="45"/>
      <c r="Y38" s="45"/>
      <c r="Z38" s="47"/>
    </row>
    <row r="39" spans="1:27" s="40" customFormat="1" ht="11.25" customHeight="1" x14ac:dyDescent="0.15">
      <c r="A39" s="44"/>
      <c r="B39" s="44"/>
      <c r="C39" s="41"/>
      <c r="D39" s="41"/>
      <c r="E39" s="46"/>
      <c r="F39" s="46"/>
      <c r="G39" s="53"/>
      <c r="H39" s="53"/>
      <c r="I39" s="53"/>
      <c r="J39" s="53"/>
      <c r="K39" s="41"/>
      <c r="L39" s="41"/>
      <c r="M39" s="41"/>
      <c r="N39" s="41"/>
      <c r="O39" s="41"/>
      <c r="P39" s="41"/>
      <c r="Q39" s="41"/>
      <c r="R39" s="41"/>
      <c r="S39" s="41"/>
      <c r="T39" s="45"/>
      <c r="U39" s="41"/>
      <c r="V39" s="41"/>
      <c r="W39" s="45"/>
      <c r="X39" s="45"/>
      <c r="Y39" s="45"/>
      <c r="Z39" s="54"/>
    </row>
    <row r="40" spans="1:27" s="40" customFormat="1" ht="11.25" customHeight="1" x14ac:dyDescent="0.15">
      <c r="A40" s="44"/>
      <c r="B40" s="44"/>
      <c r="C40" s="41"/>
      <c r="D40" s="41"/>
      <c r="E40" s="51"/>
      <c r="F40" s="51"/>
      <c r="G40" s="55"/>
      <c r="H40" s="55"/>
      <c r="I40" s="55"/>
      <c r="J40" s="55"/>
      <c r="K40" s="41"/>
      <c r="L40" s="41"/>
      <c r="M40" s="41"/>
      <c r="N40" s="41"/>
      <c r="O40" s="41"/>
      <c r="P40" s="41"/>
      <c r="Q40" s="41"/>
      <c r="R40" s="41"/>
      <c r="S40" s="41"/>
      <c r="T40" s="45"/>
      <c r="U40" s="41"/>
      <c r="V40" s="41"/>
      <c r="W40" s="45"/>
      <c r="X40" s="45"/>
      <c r="Y40" s="45"/>
      <c r="Z40" s="54"/>
    </row>
    <row r="41" spans="1:27" s="40" customFormat="1" ht="11.25" customHeight="1" x14ac:dyDescent="0.1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</row>
    <row r="42" spans="1:27" s="40" customFormat="1" ht="11.25" customHeight="1" x14ac:dyDescent="0.1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</row>
    <row r="43" spans="1:27" s="40" customFormat="1" ht="11.25" customHeight="1" x14ac:dyDescent="0.15"/>
    <row r="44" spans="1:27" s="40" customFormat="1" ht="11.25" customHeight="1" x14ac:dyDescent="0.15"/>
    <row r="45" spans="1:27" s="40" customFormat="1" ht="11.25" customHeight="1" x14ac:dyDescent="0.15"/>
    <row r="46" spans="1:27" s="40" customFormat="1" ht="11.25" customHeight="1" x14ac:dyDescent="0.15"/>
    <row r="47" spans="1:27" s="40" customFormat="1" ht="11.25" customHeight="1" x14ac:dyDescent="0.15"/>
    <row r="48" spans="1:27" s="40" customFormat="1" ht="11.25" customHeight="1" x14ac:dyDescent="0.15"/>
    <row r="49" spans="12:12" s="40" customFormat="1" ht="11.25" customHeight="1" x14ac:dyDescent="0.15"/>
    <row r="50" spans="12:12" s="40" customFormat="1" ht="11.25" customHeight="1" x14ac:dyDescent="0.15"/>
    <row r="51" spans="12:12" s="40" customFormat="1" ht="11.25" customHeight="1" x14ac:dyDescent="0.15"/>
    <row r="52" spans="12:12" s="40" customFormat="1" ht="11.25" customHeight="1" x14ac:dyDescent="0.15"/>
    <row r="53" spans="12:12" s="40" customFormat="1" ht="11.25" customHeight="1" x14ac:dyDescent="0.15"/>
    <row r="54" spans="12:12" s="40" customFormat="1" ht="11.25" customHeight="1" x14ac:dyDescent="0.15"/>
    <row r="55" spans="12:12" s="40" customFormat="1" ht="11.25" customHeight="1" x14ac:dyDescent="0.15"/>
    <row r="56" spans="12:12" s="40" customFormat="1" ht="11.25" customHeight="1" x14ac:dyDescent="0.15"/>
    <row r="57" spans="12:12" s="40" customFormat="1" ht="11.25" customHeight="1" x14ac:dyDescent="0.15"/>
    <row r="58" spans="12:12" s="40" customFormat="1" ht="11.25" customHeight="1" x14ac:dyDescent="0.15"/>
    <row r="59" spans="12:12" s="40" customFormat="1" ht="11.25" customHeight="1" x14ac:dyDescent="0.15"/>
    <row r="60" spans="12:12" s="40" customFormat="1" ht="11.25" customHeight="1" x14ac:dyDescent="0.15">
      <c r="L60" s="40" t="s">
        <v>59</v>
      </c>
    </row>
    <row r="61" spans="12:12" s="40" customFormat="1" ht="11.25" customHeight="1" x14ac:dyDescent="0.15"/>
    <row r="62" spans="12:12" s="40" customFormat="1" ht="11.25" customHeight="1" x14ac:dyDescent="0.15"/>
    <row r="63" spans="12:12" s="40" customFormat="1" ht="11.25" customHeight="1" x14ac:dyDescent="0.15"/>
    <row r="64" spans="12:12" s="40" customFormat="1" ht="11.25" customHeight="1" x14ac:dyDescent="0.15"/>
    <row r="65" s="40" customFormat="1" ht="11.25" customHeight="1" x14ac:dyDescent="0.15"/>
    <row r="66" s="40" customFormat="1" ht="11.25" customHeight="1" x14ac:dyDescent="0.15"/>
    <row r="67" s="40" customFormat="1" ht="11.25" customHeight="1" x14ac:dyDescent="0.15"/>
    <row r="68" s="40" customFormat="1" ht="11.25" customHeight="1" x14ac:dyDescent="0.15"/>
    <row r="69" s="40" customFormat="1" ht="11.25" customHeight="1" x14ac:dyDescent="0.15"/>
    <row r="70" s="40" customFormat="1" ht="11.25" customHeight="1" x14ac:dyDescent="0.15"/>
    <row r="71" s="40" customFormat="1" ht="11.25" customHeight="1" x14ac:dyDescent="0.15"/>
    <row r="72" s="40" customFormat="1" ht="11.25" customHeight="1" x14ac:dyDescent="0.15"/>
    <row r="73" s="40" customFormat="1" ht="11.25" customHeight="1" x14ac:dyDescent="0.15"/>
    <row r="74" s="40" customFormat="1" ht="11.25" customHeight="1" x14ac:dyDescent="0.15"/>
    <row r="75" s="40" customFormat="1" ht="11.25" customHeight="1" x14ac:dyDescent="0.15"/>
    <row r="76" s="40" customFormat="1" ht="11.25" customHeight="1" x14ac:dyDescent="0.15"/>
    <row r="77" s="40" customFormat="1" ht="11.25" customHeight="1" x14ac:dyDescent="0.15"/>
    <row r="78" s="40" customFormat="1" ht="11.25" customHeight="1" x14ac:dyDescent="0.15"/>
    <row r="79" s="40" customFormat="1" ht="11.25" customHeight="1" x14ac:dyDescent="0.15"/>
    <row r="80" s="40" customFormat="1" ht="11.25" customHeight="1" x14ac:dyDescent="0.15"/>
    <row r="81" s="40" customFormat="1" ht="11.25" customHeight="1" x14ac:dyDescent="0.15"/>
    <row r="82" s="40" customFormat="1" ht="11.25" customHeight="1" x14ac:dyDescent="0.15"/>
    <row r="83" s="40" customFormat="1" ht="11.25" customHeight="1" x14ac:dyDescent="0.15"/>
    <row r="84" s="40" customFormat="1" ht="11.25" customHeight="1" x14ac:dyDescent="0.15"/>
    <row r="85" s="40" customFormat="1" ht="11.25" customHeight="1" x14ac:dyDescent="0.15"/>
    <row r="86" s="40" customFormat="1" ht="11.25" customHeight="1" x14ac:dyDescent="0.15"/>
    <row r="87" s="40" customFormat="1" ht="11.25" customHeight="1" x14ac:dyDescent="0.15"/>
    <row r="88" s="40" customFormat="1" ht="11.25" customHeight="1" x14ac:dyDescent="0.15"/>
    <row r="89" s="40" customFormat="1" ht="11.25" customHeight="1" x14ac:dyDescent="0.15"/>
    <row r="90" s="40" customFormat="1" ht="11.25" customHeight="1" x14ac:dyDescent="0.15"/>
    <row r="91" s="40" customFormat="1" ht="11.25" customHeight="1" x14ac:dyDescent="0.15"/>
    <row r="92" s="40" customFormat="1" ht="11.25" customHeight="1" x14ac:dyDescent="0.15"/>
    <row r="93" s="40" customFormat="1" ht="11.25" customHeight="1" x14ac:dyDescent="0.15"/>
    <row r="94" s="5" customFormat="1" ht="11.25" customHeight="1" x14ac:dyDescent="0.15"/>
    <row r="95" s="5" customFormat="1" ht="11.25" customHeight="1" x14ac:dyDescent="0.15"/>
    <row r="96" s="5" customFormat="1" ht="11.25" customHeight="1" x14ac:dyDescent="0.15"/>
    <row r="97" s="5" customFormat="1" ht="11.25" customHeight="1" x14ac:dyDescent="0.15"/>
    <row r="98" s="5" customFormat="1" ht="11.25" customHeight="1" x14ac:dyDescent="0.15"/>
    <row r="99" s="5" customFormat="1" ht="11.25" customHeight="1" x14ac:dyDescent="0.15"/>
    <row r="100" s="5" customFormat="1" ht="11.25" customHeight="1" x14ac:dyDescent="0.15"/>
    <row r="101" s="5" customFormat="1" ht="11.25" customHeight="1" x14ac:dyDescent="0.15"/>
    <row r="102" s="5" customFormat="1" ht="11.25" customHeight="1" x14ac:dyDescent="0.15"/>
    <row r="103" s="5" customFormat="1" ht="11.25" customHeight="1" x14ac:dyDescent="0.15"/>
    <row r="104" s="5" customFormat="1" ht="11.25" customHeight="1" x14ac:dyDescent="0.15"/>
    <row r="105" s="5" customFormat="1" ht="11.25" customHeight="1" x14ac:dyDescent="0.15"/>
    <row r="106" s="5" customFormat="1" ht="11.25" customHeight="1" x14ac:dyDescent="0.15"/>
    <row r="107" s="5" customFormat="1" ht="11.25" customHeight="1" x14ac:dyDescent="0.15"/>
    <row r="108" s="5" customFormat="1" ht="11.25" customHeight="1" x14ac:dyDescent="0.15"/>
    <row r="109" s="5" customFormat="1" ht="11.25" customHeight="1" x14ac:dyDescent="0.15"/>
    <row r="110" s="5" customFormat="1" ht="11.25" customHeight="1" x14ac:dyDescent="0.15"/>
    <row r="111" s="5" customFormat="1" ht="11.25" customHeight="1" x14ac:dyDescent="0.15"/>
    <row r="112" s="5" customFormat="1" ht="11.25" customHeight="1" x14ac:dyDescent="0.15"/>
    <row r="113" s="5" customFormat="1" ht="11.25" customHeight="1" x14ac:dyDescent="0.15"/>
    <row r="114" s="5" customFormat="1" ht="11.25" customHeight="1" x14ac:dyDescent="0.15"/>
    <row r="115" s="5" customFormat="1" ht="11.25" customHeight="1" x14ac:dyDescent="0.15"/>
    <row r="116" s="5" customFormat="1" ht="11.25" customHeight="1" x14ac:dyDescent="0.15"/>
    <row r="117" s="5" customFormat="1" ht="11.25" customHeight="1" x14ac:dyDescent="0.15"/>
    <row r="118" s="5" customFormat="1" ht="11.25" customHeight="1" x14ac:dyDescent="0.15"/>
    <row r="119" s="5" customFormat="1" ht="11.25" customHeight="1" x14ac:dyDescent="0.15"/>
    <row r="120" s="5" customFormat="1" ht="11.25" customHeight="1" x14ac:dyDescent="0.15"/>
    <row r="121" s="5" customFormat="1" ht="11.25" customHeight="1" x14ac:dyDescent="0.15"/>
    <row r="122" s="5" customFormat="1" ht="11.25" customHeight="1" x14ac:dyDescent="0.15"/>
    <row r="123" s="5" customFormat="1" ht="11.25" customHeight="1" x14ac:dyDescent="0.15"/>
    <row r="124" s="5" customFormat="1" ht="11.25" customHeight="1" x14ac:dyDescent="0.15"/>
    <row r="125" s="5" customFormat="1" ht="11.25" customHeight="1" x14ac:dyDescent="0.15"/>
    <row r="126" s="5" customFormat="1" ht="11.25" customHeight="1" x14ac:dyDescent="0.15"/>
    <row r="127" s="5" customFormat="1" ht="11.25" customHeight="1" x14ac:dyDescent="0.15"/>
    <row r="128" s="5" customFormat="1" ht="11.25" customHeight="1" x14ac:dyDescent="0.15"/>
    <row r="129" s="5" customFormat="1" ht="11.25" customHeight="1" x14ac:dyDescent="0.15"/>
    <row r="130" s="5" customFormat="1" ht="11.25" customHeight="1" x14ac:dyDescent="0.15"/>
    <row r="131" s="5" customFormat="1" ht="11.25" customHeight="1" x14ac:dyDescent="0.15"/>
    <row r="132" s="5" customFormat="1" ht="11.25" customHeight="1" x14ac:dyDescent="0.15"/>
    <row r="133" s="5" customFormat="1" ht="11.25" customHeight="1" x14ac:dyDescent="0.15"/>
    <row r="134" s="5" customFormat="1" ht="11.25" customHeight="1" x14ac:dyDescent="0.15"/>
    <row r="135" s="5" customFormat="1" ht="11.25" customHeight="1" x14ac:dyDescent="0.15"/>
    <row r="136" s="5" customFormat="1" ht="11.25" customHeight="1" x14ac:dyDescent="0.15"/>
    <row r="137" s="5" customFormat="1" ht="11.25" customHeight="1" x14ac:dyDescent="0.15"/>
    <row r="138" s="5" customFormat="1" ht="11.25" customHeight="1" x14ac:dyDescent="0.15"/>
    <row r="139" s="5" customFormat="1" ht="11.25" customHeight="1" x14ac:dyDescent="0.15"/>
    <row r="140" s="5" customFormat="1" ht="11.25" customHeight="1" x14ac:dyDescent="0.15"/>
    <row r="141" s="5" customFormat="1" ht="11.25" customHeight="1" x14ac:dyDescent="0.15"/>
    <row r="142" s="5" customFormat="1" ht="11.25" customHeight="1" x14ac:dyDescent="0.15"/>
    <row r="143" s="5" customFormat="1" ht="11.25" customHeight="1" x14ac:dyDescent="0.15"/>
    <row r="144" s="5" customFormat="1" ht="11.25" customHeight="1" x14ac:dyDescent="0.15"/>
    <row r="145" s="5" customFormat="1" ht="11.25" customHeight="1" x14ac:dyDescent="0.15"/>
    <row r="146" s="5" customFormat="1" ht="11.25" customHeight="1" x14ac:dyDescent="0.15"/>
    <row r="147" s="5" customFormat="1" ht="11.25" customHeight="1" x14ac:dyDescent="0.15"/>
    <row r="148" s="5" customFormat="1" ht="11.25" customHeight="1" x14ac:dyDescent="0.15"/>
    <row r="149" s="5" customFormat="1" ht="11.25" customHeight="1" x14ac:dyDescent="0.15"/>
    <row r="150" s="5" customFormat="1" ht="11.25" customHeight="1" x14ac:dyDescent="0.15"/>
    <row r="151" s="5" customFormat="1" ht="11.25" customHeight="1" x14ac:dyDescent="0.15"/>
    <row r="152" s="5" customFormat="1" ht="11.25" customHeight="1" x14ac:dyDescent="0.15"/>
    <row r="153" s="5" customFormat="1" ht="11.25" customHeight="1" x14ac:dyDescent="0.15"/>
    <row r="154" s="5" customFormat="1" ht="11.25" customHeight="1" x14ac:dyDescent="0.15"/>
    <row r="155" s="5" customFormat="1" ht="11.25" customHeight="1" x14ac:dyDescent="0.15"/>
    <row r="156" s="5" customFormat="1" ht="11.25" customHeight="1" x14ac:dyDescent="0.15"/>
    <row r="157" s="5" customFormat="1" ht="11.25" customHeight="1" x14ac:dyDescent="0.15"/>
    <row r="158" s="5" customFormat="1" ht="11.25" customHeight="1" x14ac:dyDescent="0.15"/>
    <row r="159" s="5" customFormat="1" ht="11.25" customHeight="1" x14ac:dyDescent="0.15"/>
    <row r="160" s="5" customFormat="1" ht="11.25" customHeight="1" x14ac:dyDescent="0.15"/>
    <row r="161" s="5" customFormat="1" ht="11.25" customHeight="1" x14ac:dyDescent="0.15"/>
    <row r="162" s="5" customFormat="1" ht="11.25" customHeight="1" x14ac:dyDescent="0.15"/>
    <row r="163" s="5" customFormat="1" ht="11.25" customHeight="1" x14ac:dyDescent="0.15"/>
    <row r="164" s="5" customFormat="1" ht="11.25" customHeight="1" x14ac:dyDescent="0.15"/>
    <row r="165" s="5" customFormat="1" ht="11.25" customHeight="1" x14ac:dyDescent="0.15"/>
    <row r="166" s="5" customFormat="1" ht="11.25" customHeight="1" x14ac:dyDescent="0.15"/>
    <row r="167" s="5" customFormat="1" ht="11.25" customHeight="1" x14ac:dyDescent="0.15"/>
    <row r="168" s="5" customFormat="1" ht="11.25" customHeight="1" x14ac:dyDescent="0.15"/>
    <row r="169" s="5" customFormat="1" ht="11.25" customHeight="1" x14ac:dyDescent="0.15"/>
    <row r="170" s="5" customFormat="1" ht="11.25" customHeight="1" x14ac:dyDescent="0.15"/>
    <row r="171" s="5" customFormat="1" ht="11.25" customHeight="1" x14ac:dyDescent="0.15"/>
    <row r="172" s="5" customFormat="1" ht="11.25" customHeight="1" x14ac:dyDescent="0.15"/>
    <row r="173" s="5" customFormat="1" ht="11.25" customHeight="1" x14ac:dyDescent="0.15"/>
    <row r="174" s="5" customFormat="1" ht="11.25" customHeight="1" x14ac:dyDescent="0.15"/>
    <row r="175" s="5" customFormat="1" ht="11.25" customHeight="1" x14ac:dyDescent="0.15"/>
    <row r="176" s="5" customFormat="1" ht="11.25" customHeight="1" x14ac:dyDescent="0.15"/>
    <row r="177" s="5" customFormat="1" ht="11.25" customHeight="1" x14ac:dyDescent="0.15"/>
    <row r="178" s="5" customFormat="1" ht="11.25" customHeight="1" x14ac:dyDescent="0.15"/>
    <row r="179" s="5" customFormat="1" ht="11.25" customHeight="1" x14ac:dyDescent="0.15"/>
    <row r="180" s="5" customFormat="1" ht="11.25" customHeight="1" x14ac:dyDescent="0.15"/>
    <row r="181" s="5" customFormat="1" ht="11.25" customHeight="1" x14ac:dyDescent="0.15"/>
    <row r="182" s="5" customFormat="1" ht="11.25" customHeight="1" x14ac:dyDescent="0.15"/>
    <row r="183" s="5" customFormat="1" ht="11.25" customHeight="1" x14ac:dyDescent="0.15"/>
    <row r="184" s="5" customFormat="1" ht="11.25" customHeight="1" x14ac:dyDescent="0.15"/>
    <row r="185" s="5" customFormat="1" ht="11.25" customHeight="1" x14ac:dyDescent="0.15"/>
    <row r="186" s="5" customFormat="1" ht="11.25" customHeight="1" x14ac:dyDescent="0.15"/>
    <row r="187" s="5" customFormat="1" ht="11.25" customHeight="1" x14ac:dyDescent="0.15"/>
    <row r="188" s="5" customFormat="1" ht="11.25" customHeight="1" x14ac:dyDescent="0.15"/>
    <row r="189" s="5" customFormat="1" ht="11.25" customHeight="1" x14ac:dyDescent="0.15"/>
    <row r="190" s="5" customFormat="1" ht="11.25" customHeight="1" x14ac:dyDescent="0.15"/>
    <row r="191" s="5" customFormat="1" ht="11.25" customHeight="1" x14ac:dyDescent="0.15"/>
    <row r="192" s="5" customFormat="1" ht="11.25" customHeight="1" x14ac:dyDescent="0.15"/>
    <row r="193" s="5" customFormat="1" ht="11.25" customHeight="1" x14ac:dyDescent="0.15"/>
    <row r="194" s="5" customFormat="1" ht="11.25" customHeight="1" x14ac:dyDescent="0.15"/>
    <row r="195" s="5" customFormat="1" ht="11.25" customHeight="1" x14ac:dyDescent="0.15"/>
    <row r="196" s="5" customFormat="1" ht="11.25" customHeight="1" x14ac:dyDescent="0.15"/>
    <row r="197" s="5" customFormat="1" ht="11.25" customHeight="1" x14ac:dyDescent="0.15"/>
    <row r="198" s="5" customFormat="1" ht="11.25" customHeight="1" x14ac:dyDescent="0.15"/>
    <row r="199" s="5" customFormat="1" ht="11.25" customHeight="1" x14ac:dyDescent="0.15"/>
    <row r="200" s="5" customFormat="1" ht="11.25" customHeight="1" x14ac:dyDescent="0.15"/>
    <row r="201" s="5" customFormat="1" ht="11.25" customHeight="1" x14ac:dyDescent="0.15"/>
    <row r="202" s="5" customFormat="1" ht="11.25" customHeight="1" x14ac:dyDescent="0.15"/>
    <row r="203" s="5" customFormat="1" ht="11.25" customHeight="1" x14ac:dyDescent="0.15"/>
    <row r="204" s="5" customFormat="1" ht="11.25" customHeight="1" x14ac:dyDescent="0.15"/>
    <row r="205" s="5" customFormat="1" ht="11.25" customHeight="1" x14ac:dyDescent="0.15"/>
    <row r="206" s="5" customFormat="1" ht="11.25" customHeight="1" x14ac:dyDescent="0.15"/>
    <row r="207" s="5" customFormat="1" ht="11.25" customHeight="1" x14ac:dyDescent="0.15"/>
    <row r="208" s="5" customFormat="1" ht="11.25" customHeight="1" x14ac:dyDescent="0.15"/>
    <row r="209" s="5" customFormat="1" ht="11.25" customHeight="1" x14ac:dyDescent="0.15"/>
    <row r="210" s="5" customFormat="1" ht="11.25" customHeight="1" x14ac:dyDescent="0.15"/>
    <row r="211" s="5" customFormat="1" ht="11.25" customHeight="1" x14ac:dyDescent="0.15"/>
    <row r="212" s="5" customFormat="1" ht="11.25" customHeight="1" x14ac:dyDescent="0.15"/>
    <row r="213" s="5" customFormat="1" ht="11.25" customHeight="1" x14ac:dyDescent="0.15"/>
    <row r="214" s="5" customFormat="1" ht="11.25" customHeight="1" x14ac:dyDescent="0.15"/>
    <row r="215" s="5" customFormat="1" ht="11.25" customHeight="1" x14ac:dyDescent="0.15"/>
    <row r="216" s="5" customFormat="1" ht="11.25" customHeight="1" x14ac:dyDescent="0.15"/>
    <row r="217" s="5" customFormat="1" ht="11.25" customHeight="1" x14ac:dyDescent="0.15"/>
    <row r="218" s="5" customFormat="1" ht="11.25" customHeight="1" x14ac:dyDescent="0.15"/>
    <row r="219" s="5" customFormat="1" ht="11.25" customHeight="1" x14ac:dyDescent="0.15"/>
    <row r="220" s="5" customFormat="1" ht="11.25" customHeight="1" x14ac:dyDescent="0.15"/>
    <row r="221" s="5" customFormat="1" ht="11.25" customHeight="1" x14ac:dyDescent="0.15"/>
    <row r="222" s="5" customFormat="1" ht="11.25" customHeight="1" x14ac:dyDescent="0.15"/>
    <row r="223" s="5" customFormat="1" ht="11.25" customHeight="1" x14ac:dyDescent="0.15"/>
    <row r="224" s="5" customFormat="1" ht="11.25" customHeight="1" x14ac:dyDescent="0.15"/>
    <row r="225" s="5" customFormat="1" ht="11.25" customHeight="1" x14ac:dyDescent="0.15"/>
    <row r="226" s="5" customFormat="1" ht="11.25" customHeight="1" x14ac:dyDescent="0.15"/>
    <row r="227" s="5" customFormat="1" ht="11.25" customHeight="1" x14ac:dyDescent="0.15"/>
    <row r="228" s="5" customFormat="1" ht="11.25" customHeight="1" x14ac:dyDescent="0.15"/>
    <row r="229" s="5" customFormat="1" ht="11.25" customHeight="1" x14ac:dyDescent="0.15"/>
    <row r="230" s="5" customFormat="1" ht="11.25" customHeight="1" x14ac:dyDescent="0.15"/>
    <row r="231" s="5" customFormat="1" ht="11.25" customHeight="1" x14ac:dyDescent="0.15"/>
    <row r="232" s="5" customFormat="1" ht="11.25" customHeight="1" x14ac:dyDescent="0.15"/>
    <row r="233" s="5" customFormat="1" ht="11.25" customHeight="1" x14ac:dyDescent="0.15"/>
    <row r="234" s="5" customFormat="1" ht="11.25" customHeight="1" x14ac:dyDescent="0.15"/>
    <row r="235" s="5" customFormat="1" ht="11.25" customHeight="1" x14ac:dyDescent="0.15"/>
    <row r="236" s="5" customFormat="1" ht="11.25" customHeight="1" x14ac:dyDescent="0.15"/>
    <row r="237" s="5" customFormat="1" ht="11.25" customHeight="1" x14ac:dyDescent="0.15"/>
    <row r="238" s="5" customFormat="1" ht="11.25" customHeight="1" x14ac:dyDescent="0.15"/>
    <row r="239" s="5" customFormat="1" ht="11.25" customHeight="1" x14ac:dyDescent="0.15"/>
    <row r="240" s="5" customFormat="1" ht="11.25" customHeight="1" x14ac:dyDescent="0.15"/>
    <row r="241" s="5" customFormat="1" ht="11.25" customHeight="1" x14ac:dyDescent="0.15"/>
    <row r="242" s="5" customFormat="1" ht="11.25" customHeight="1" x14ac:dyDescent="0.15"/>
    <row r="243" s="5" customFormat="1" ht="11.25" customHeight="1" x14ac:dyDescent="0.15"/>
    <row r="244" s="5" customFormat="1" ht="11.25" customHeight="1" x14ac:dyDescent="0.15"/>
    <row r="245" s="5" customFormat="1" ht="11.25" customHeight="1" x14ac:dyDescent="0.15"/>
    <row r="246" s="5" customFormat="1" ht="11.25" customHeight="1" x14ac:dyDescent="0.15"/>
    <row r="247" s="5" customFormat="1" ht="11.25" customHeight="1" x14ac:dyDescent="0.15"/>
    <row r="248" s="5" customFormat="1" ht="11.25" customHeight="1" x14ac:dyDescent="0.15"/>
    <row r="249" s="5" customFormat="1" ht="11.25" customHeight="1" x14ac:dyDescent="0.15"/>
    <row r="250" s="5" customFormat="1" ht="11.25" customHeight="1" x14ac:dyDescent="0.15"/>
    <row r="251" s="5" customFormat="1" ht="11.25" customHeight="1" x14ac:dyDescent="0.15"/>
    <row r="252" s="5" customFormat="1" ht="11.25" customHeight="1" x14ac:dyDescent="0.15"/>
    <row r="253" s="5" customFormat="1" ht="11.25" customHeight="1" x14ac:dyDescent="0.15"/>
    <row r="254" s="5" customFormat="1" ht="11.25" customHeight="1" x14ac:dyDescent="0.15"/>
    <row r="255" s="5" customFormat="1" ht="11.25" customHeight="1" x14ac:dyDescent="0.15"/>
    <row r="256" s="5" customFormat="1" ht="11.25" customHeight="1" x14ac:dyDescent="0.15"/>
    <row r="257" s="5" customFormat="1" ht="11.25" customHeight="1" x14ac:dyDescent="0.15"/>
    <row r="258" s="5" customFormat="1" ht="11.25" customHeight="1" x14ac:dyDescent="0.15"/>
    <row r="259" s="5" customFormat="1" ht="11.25" customHeight="1" x14ac:dyDescent="0.15"/>
    <row r="260" s="5" customFormat="1" ht="11.25" customHeight="1" x14ac:dyDescent="0.15"/>
    <row r="261" s="5" customFormat="1" ht="11.25" customHeight="1" x14ac:dyDescent="0.15"/>
    <row r="262" s="5" customFormat="1" ht="11.25" customHeight="1" x14ac:dyDescent="0.15"/>
    <row r="263" s="5" customFormat="1" ht="11.25" customHeight="1" x14ac:dyDescent="0.15"/>
    <row r="264" s="5" customFormat="1" ht="11.25" customHeight="1" x14ac:dyDescent="0.15"/>
    <row r="265" s="5" customFormat="1" ht="11.25" customHeight="1" x14ac:dyDescent="0.15"/>
    <row r="266" s="5" customFormat="1" ht="11.25" customHeight="1" x14ac:dyDescent="0.15"/>
    <row r="267" s="5" customFormat="1" ht="11.25" customHeight="1" x14ac:dyDescent="0.15"/>
    <row r="268" s="5" customFormat="1" ht="11.25" customHeight="1" x14ac:dyDescent="0.15"/>
    <row r="269" s="5" customFormat="1" ht="11.25" customHeight="1" x14ac:dyDescent="0.15"/>
    <row r="270" s="5" customFormat="1" ht="11.25" customHeight="1" x14ac:dyDescent="0.15"/>
    <row r="271" s="5" customFormat="1" ht="11.25" customHeight="1" x14ac:dyDescent="0.15"/>
    <row r="272" s="5" customFormat="1" ht="11.25" customHeight="1" x14ac:dyDescent="0.15"/>
    <row r="273" s="5" customFormat="1" ht="11.25" customHeight="1" x14ac:dyDescent="0.15"/>
    <row r="274" s="5" customFormat="1" ht="11.25" customHeight="1" x14ac:dyDescent="0.15"/>
    <row r="275" s="5" customFormat="1" ht="11.25" customHeight="1" x14ac:dyDescent="0.15"/>
    <row r="276" s="5" customFormat="1" ht="11.25" customHeight="1" x14ac:dyDescent="0.15"/>
    <row r="277" s="5" customFormat="1" ht="11.25" customHeight="1" x14ac:dyDescent="0.15"/>
    <row r="278" s="5" customFormat="1" ht="11.25" customHeight="1" x14ac:dyDescent="0.15"/>
    <row r="279" s="5" customFormat="1" ht="11.25" customHeight="1" x14ac:dyDescent="0.15"/>
    <row r="280" s="5" customFormat="1" ht="11.25" customHeight="1" x14ac:dyDescent="0.15"/>
    <row r="281" s="5" customFormat="1" ht="11.25" customHeight="1" x14ac:dyDescent="0.15"/>
    <row r="282" s="5" customFormat="1" ht="11.25" customHeight="1" x14ac:dyDescent="0.15"/>
    <row r="283" s="5" customFormat="1" ht="11.25" customHeight="1" x14ac:dyDescent="0.15"/>
    <row r="284" s="5" customFormat="1" ht="11.25" customHeight="1" x14ac:dyDescent="0.15"/>
    <row r="285" s="5" customFormat="1" ht="11.25" customHeight="1" x14ac:dyDescent="0.15"/>
    <row r="286" s="5" customFormat="1" ht="11.25" customHeight="1" x14ac:dyDescent="0.15"/>
    <row r="287" s="5" customFormat="1" ht="11.25" customHeight="1" x14ac:dyDescent="0.15"/>
    <row r="288" s="5" customFormat="1" ht="11.25" customHeight="1" x14ac:dyDescent="0.15"/>
    <row r="289" s="5" customFormat="1" ht="11.25" customHeight="1" x14ac:dyDescent="0.15"/>
    <row r="290" s="5" customFormat="1" ht="11.25" customHeight="1" x14ac:dyDescent="0.15"/>
    <row r="291" s="5" customFormat="1" ht="11.25" customHeight="1" x14ac:dyDescent="0.15"/>
    <row r="292" s="5" customFormat="1" ht="11.25" customHeight="1" x14ac:dyDescent="0.15"/>
    <row r="293" s="5" customFormat="1" ht="11.25" customHeight="1" x14ac:dyDescent="0.15"/>
    <row r="294" s="5" customFormat="1" ht="11.25" customHeight="1" x14ac:dyDescent="0.15"/>
    <row r="295" s="5" customFormat="1" ht="11.25" customHeight="1" x14ac:dyDescent="0.15"/>
    <row r="296" s="5" customFormat="1" ht="11.25" customHeight="1" x14ac:dyDescent="0.15"/>
    <row r="297" s="5" customFormat="1" ht="11.25" customHeight="1" x14ac:dyDescent="0.15"/>
    <row r="298" s="5" customFormat="1" ht="11.25" customHeight="1" x14ac:dyDescent="0.15"/>
    <row r="299" s="5" customFormat="1" ht="11.25" customHeight="1" x14ac:dyDescent="0.15"/>
    <row r="300" s="5" customFormat="1" ht="11.25" customHeight="1" x14ac:dyDescent="0.15"/>
    <row r="301" s="5" customFormat="1" ht="11.25" customHeight="1" x14ac:dyDescent="0.15"/>
    <row r="302" s="5" customFormat="1" ht="11.25" customHeight="1" x14ac:dyDescent="0.15"/>
    <row r="303" s="5" customFormat="1" ht="11.25" customHeight="1" x14ac:dyDescent="0.15"/>
    <row r="304" s="5" customFormat="1" ht="11.25" customHeight="1" x14ac:dyDescent="0.15"/>
    <row r="305" s="5" customFormat="1" ht="11.25" customHeight="1" x14ac:dyDescent="0.15"/>
    <row r="306" s="5" customFormat="1" ht="11.25" customHeight="1" x14ac:dyDescent="0.15"/>
    <row r="307" s="5" customFormat="1" ht="11.25" customHeight="1" x14ac:dyDescent="0.15"/>
    <row r="308" s="5" customFormat="1" ht="11.25" customHeight="1" x14ac:dyDescent="0.15"/>
    <row r="309" s="5" customFormat="1" ht="11.25" customHeight="1" x14ac:dyDescent="0.15"/>
    <row r="310" ht="11.25" customHeight="1" x14ac:dyDescent="0.15"/>
    <row r="311" ht="11.25" customHeight="1" x14ac:dyDescent="0.15"/>
    <row r="312" ht="11.25" customHeight="1" x14ac:dyDescent="0.15"/>
    <row r="313" ht="11.25" customHeight="1" x14ac:dyDescent="0.15"/>
    <row r="314" ht="11.25" customHeight="1" x14ac:dyDescent="0.15"/>
    <row r="315" ht="11.25" customHeight="1" x14ac:dyDescent="0.15"/>
    <row r="316" ht="11.25" customHeight="1" x14ac:dyDescent="0.15"/>
    <row r="317" ht="11.25" customHeight="1" x14ac:dyDescent="0.15"/>
    <row r="318" ht="11.25" customHeight="1" x14ac:dyDescent="0.15"/>
    <row r="319" ht="11.25" customHeight="1" x14ac:dyDescent="0.15"/>
    <row r="320" ht="11.25" customHeight="1" x14ac:dyDescent="0.15"/>
    <row r="321" ht="11.25" customHeight="1" x14ac:dyDescent="0.15"/>
    <row r="322" ht="11.25" customHeight="1" x14ac:dyDescent="0.15"/>
    <row r="323" ht="11.25" customHeight="1" x14ac:dyDescent="0.15"/>
    <row r="324" ht="11.25" customHeight="1" x14ac:dyDescent="0.15"/>
    <row r="325" ht="11.25" customHeight="1" x14ac:dyDescent="0.15"/>
    <row r="326" ht="11.25" customHeight="1" x14ac:dyDescent="0.15"/>
    <row r="327" ht="11.25" customHeight="1" x14ac:dyDescent="0.15"/>
    <row r="328" ht="11.25" customHeight="1" x14ac:dyDescent="0.15"/>
    <row r="329" ht="11.25" customHeight="1" x14ac:dyDescent="0.15"/>
    <row r="330" ht="11.25" customHeight="1" x14ac:dyDescent="0.15"/>
  </sheetData>
  <mergeCells count="95">
    <mergeCell ref="D13:G13"/>
    <mergeCell ref="H15:J15"/>
    <mergeCell ref="D14:G14"/>
    <mergeCell ref="K14:P14"/>
    <mergeCell ref="A5:C5"/>
    <mergeCell ref="D5:G5"/>
    <mergeCell ref="A7:C7"/>
    <mergeCell ref="D8:G8"/>
    <mergeCell ref="D7:G7"/>
    <mergeCell ref="A10:C10"/>
    <mergeCell ref="D10:G10"/>
    <mergeCell ref="H10:J10"/>
    <mergeCell ref="K10:P10"/>
    <mergeCell ref="D12:G12"/>
    <mergeCell ref="H12:J12"/>
    <mergeCell ref="D11:G11"/>
    <mergeCell ref="W9:AA9"/>
    <mergeCell ref="K9:P9"/>
    <mergeCell ref="Q9:V9"/>
    <mergeCell ref="D9:G9"/>
    <mergeCell ref="H9:J9"/>
    <mergeCell ref="Q7:V7"/>
    <mergeCell ref="A8:C8"/>
    <mergeCell ref="D6:G6"/>
    <mergeCell ref="A6:C6"/>
    <mergeCell ref="A9:C9"/>
    <mergeCell ref="W10:AA10"/>
    <mergeCell ref="K7:P7"/>
    <mergeCell ref="H1:X2"/>
    <mergeCell ref="K5:P5"/>
    <mergeCell ref="Q5:V5"/>
    <mergeCell ref="W5:AA5"/>
    <mergeCell ref="H5:J5"/>
    <mergeCell ref="Q10:V10"/>
    <mergeCell ref="W6:AA6"/>
    <mergeCell ref="K6:P6"/>
    <mergeCell ref="H6:J6"/>
    <mergeCell ref="H8:J8"/>
    <mergeCell ref="W7:AA7"/>
    <mergeCell ref="Q6:V6"/>
    <mergeCell ref="W8:AA8"/>
    <mergeCell ref="H7:J7"/>
    <mergeCell ref="D20:G20"/>
    <mergeCell ref="K20:P20"/>
    <mergeCell ref="K8:P8"/>
    <mergeCell ref="Q8:V8"/>
    <mergeCell ref="D21:G21"/>
    <mergeCell ref="K21:P21"/>
    <mergeCell ref="Q21:V21"/>
    <mergeCell ref="Q12:V12"/>
    <mergeCell ref="Q14:V14"/>
    <mergeCell ref="D16:G16"/>
    <mergeCell ref="H16:J16"/>
    <mergeCell ref="K16:P16"/>
    <mergeCell ref="Q16:V16"/>
    <mergeCell ref="D15:G15"/>
    <mergeCell ref="K15:P15"/>
    <mergeCell ref="Q15:V15"/>
    <mergeCell ref="AG19:AH19"/>
    <mergeCell ref="W16:AA16"/>
    <mergeCell ref="W15:AA15"/>
    <mergeCell ref="K17:P17"/>
    <mergeCell ref="Q17:V17"/>
    <mergeCell ref="W17:AA17"/>
    <mergeCell ref="Q19:V19"/>
    <mergeCell ref="W19:AA19"/>
    <mergeCell ref="K18:P18"/>
    <mergeCell ref="Q18:V18"/>
    <mergeCell ref="AE18:AE19"/>
    <mergeCell ref="K19:P19"/>
    <mergeCell ref="K11:P11"/>
    <mergeCell ref="Q11:V11"/>
    <mergeCell ref="W11:AA11"/>
    <mergeCell ref="H21:J21"/>
    <mergeCell ref="W13:AA13"/>
    <mergeCell ref="Q13:V13"/>
    <mergeCell ref="K13:P13"/>
    <mergeCell ref="H13:J13"/>
    <mergeCell ref="W14:AA14"/>
    <mergeCell ref="H20:J20"/>
    <mergeCell ref="Q20:V20"/>
    <mergeCell ref="H11:J11"/>
    <mergeCell ref="K12:P12"/>
    <mergeCell ref="W12:AA12"/>
    <mergeCell ref="D18:G18"/>
    <mergeCell ref="D17:G17"/>
    <mergeCell ref="H18:J18"/>
    <mergeCell ref="H19:J19"/>
    <mergeCell ref="D19:G19"/>
    <mergeCell ref="H17:J17"/>
    <mergeCell ref="AE20:AE22"/>
    <mergeCell ref="W18:AA18"/>
    <mergeCell ref="W21:AA21"/>
    <mergeCell ref="W20:AA20"/>
    <mergeCell ref="H14:J14"/>
  </mergeCells>
  <phoneticPr fontId="2" type="noConversion"/>
  <dataValidations count="5">
    <dataValidation type="list" allowBlank="1" showInputMessage="1" sqref="P29:S34 P37:S38 P24:P25 P27:S27 P22:S23" xr:uid="{00000000-0002-0000-0300-000004000000}">
      <formula1>모델명1</formula1>
    </dataValidation>
    <dataValidation type="list" allowBlank="1" showInputMessage="1" showErrorMessage="1" sqref="P35:P36 P26:S26 P28:S28" xr:uid="{00000000-0002-0000-0300-000005000000}">
      <formula1>모델명1</formula1>
    </dataValidation>
    <dataValidation type="list" allowBlank="1" showInputMessage="1" showErrorMessage="1" sqref="O37:O38 O22:O34 C15:C18 N22:N38" xr:uid="{00000000-0002-0000-0300-000006000000}">
      <formula1>업체명</formula1>
    </dataValidation>
    <dataValidation type="list" allowBlank="1" showInputMessage="1" sqref="E21:G21 D7:D14 D16:D21 E16:G16 E18:G19 E7:G10 E12:G13" xr:uid="{00000000-0002-0000-0300-000008000000}">
      <formula1>품명</formula1>
    </dataValidation>
    <dataValidation type="list" allowBlank="1" showInputMessage="1" showErrorMessage="1" sqref="D6:G6" xr:uid="{00000000-0002-0000-0300-000007000000}">
      <formula1>품명</formula1>
    </dataValidation>
  </dataValidations>
  <pageMargins left="0.23622047244094491" right="0.23622047244094491" top="0.51181102362204722" bottom="0.31496062992125984" header="0.23622047244094491" footer="0.19685039370078741"/>
  <pageSetup paperSize="9" orientation="portrait" r:id="rId1"/>
  <headerFooter alignWithMargins="0">
    <oddFooter>&amp;L&amp;"굴림체,보통"&amp;8F-COP02-04&amp;C&amp;"굴림체,보통"&amp;8(주)이산전자&amp;R&amp;"굴림체,보통"&amp;8A4(210x297)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C83905B5-C3FA-4E98-AD38-861203E7E885}">
          <x14:formula1>
            <xm:f>목록!$C$2:$C$25</xm:f>
          </x14:formula1>
          <xm:sqref>D15:G15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9</vt:i4>
      </vt:variant>
    </vt:vector>
  </HeadingPairs>
  <TitlesOfParts>
    <vt:vector size="14" baseType="lpstr">
      <vt:lpstr>유형</vt:lpstr>
      <vt:lpstr>입출고 입력</vt:lpstr>
      <vt:lpstr>단가표</vt:lpstr>
      <vt:lpstr>목록</vt:lpstr>
      <vt:lpstr>제품재고</vt:lpstr>
      <vt:lpstr>'입출고 입력'!Criteria</vt:lpstr>
      <vt:lpstr>'입출고 입력'!Extract</vt:lpstr>
      <vt:lpstr>'입출고 입력'!Print_Area</vt:lpstr>
      <vt:lpstr>제품재고!Print_Area</vt:lpstr>
      <vt:lpstr>데이터원본</vt:lpstr>
      <vt:lpstr>목록!업체명</vt:lpstr>
      <vt:lpstr>'입출고 입력'!업체명</vt:lpstr>
      <vt:lpstr>입고출고</vt:lpstr>
      <vt:lpstr>품명</vt:lpstr>
    </vt:vector>
  </TitlesOfParts>
  <Company>디앤디테크(주)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김권근</dc:creator>
  <cp:lastModifiedBy>권근 김</cp:lastModifiedBy>
  <cp:lastPrinted>2023-12-27T03:29:50Z</cp:lastPrinted>
  <dcterms:created xsi:type="dcterms:W3CDTF">2008-01-10T06:34:28Z</dcterms:created>
  <dcterms:modified xsi:type="dcterms:W3CDTF">2026-09-18T01:43:41Z</dcterms:modified>
</cp:coreProperties>
</file>